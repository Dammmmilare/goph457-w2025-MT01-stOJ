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dd1913fb6f10a7/Documents/SCHOOL/GOPH 457 L01 - (Winter 2025) - Physical Properties of Minerals^J Soils and Rock - 2132025 - 835 AM/"/>
    </mc:Choice>
  </mc:AlternateContent>
  <xr:revisionPtr revIDLastSave="933" documentId="8_{A6E124A9-3F37-4D6B-94E3-22EA175D76B8}" xr6:coauthVersionLast="47" xr6:coauthVersionMax="47" xr10:uidLastSave="{295E2DCC-08E8-4B65-9760-2B16B442A4D1}"/>
  <bookViews>
    <workbookView xWindow="36765" yWindow="0" windowWidth="12240" windowHeight="16305" activeTab="1" xr2:uid="{324697F0-F716-4973-9DEE-7915F077F450}"/>
  </bookViews>
  <sheets>
    <sheet name="Q1" sheetId="1" r:id="rId1"/>
    <sheet name="Q2" sheetId="2" r:id="rId2"/>
    <sheet name="Q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D35" i="2" s="1"/>
  <c r="D33" i="2"/>
  <c r="D32" i="2"/>
  <c r="H20" i="2"/>
  <c r="F21" i="2"/>
  <c r="F22" i="2"/>
  <c r="F23" i="2"/>
  <c r="F20" i="2"/>
  <c r="G23" i="2"/>
  <c r="L16" i="1"/>
  <c r="L17" i="1"/>
  <c r="M17" i="1"/>
  <c r="D21" i="2"/>
  <c r="D22" i="2"/>
  <c r="D23" i="2"/>
  <c r="D20" i="2"/>
  <c r="E32" i="1"/>
  <c r="F31" i="1" s="1"/>
  <c r="F26" i="1"/>
  <c r="G12" i="1"/>
  <c r="G13" i="1"/>
  <c r="L13" i="1" s="1"/>
  <c r="I17" i="1"/>
  <c r="M16" i="1" s="1"/>
  <c r="P17" i="1"/>
  <c r="E31" i="1"/>
  <c r="G25" i="1"/>
  <c r="M26" i="1" s="1"/>
  <c r="E29" i="1"/>
  <c r="E28" i="1"/>
  <c r="F28" i="1" s="1"/>
  <c r="L29" i="1" s="1"/>
  <c r="D13" i="1"/>
  <c r="J25" i="1" l="1"/>
  <c r="D36" i="1"/>
  <c r="I28" i="1"/>
  <c r="G21" i="2"/>
  <c r="G22" i="2"/>
  <c r="G20" i="2"/>
  <c r="I31" i="1"/>
  <c r="L31" i="1" s="1"/>
  <c r="D37" i="1"/>
  <c r="D38" i="1" s="1"/>
  <c r="D45" i="1"/>
  <c r="L28" i="1"/>
  <c r="M28" i="1" s="1"/>
  <c r="M25" i="1"/>
  <c r="N25" i="1" s="1"/>
  <c r="H12" i="1"/>
  <c r="H13" i="1"/>
  <c r="G24" i="2" l="1"/>
  <c r="J36" i="1"/>
  <c r="D46" i="1"/>
  <c r="D47" i="1" s="1"/>
  <c r="J37" i="1"/>
  <c r="J38" i="1" l="1"/>
</calcChain>
</file>

<file path=xl/sharedStrings.xml><?xml version="1.0" encoding="utf-8"?>
<sst xmlns="http://schemas.openxmlformats.org/spreadsheetml/2006/main" count="146" uniqueCount="97">
  <si>
    <t>r = 2.58 ± 0.05 cm</t>
  </si>
  <si>
    <t>d = 5.16 ±0.05 cm</t>
  </si>
  <si>
    <t>h = 9.87 ± 0.05 cm</t>
  </si>
  <si>
    <t>Q1</t>
  </si>
  <si>
    <t>M submerged</t>
  </si>
  <si>
    <t>Wet M Unsubmerged</t>
  </si>
  <si>
    <t>537.3 ± 0.2 g</t>
  </si>
  <si>
    <t>Dry Mass</t>
  </si>
  <si>
    <t>530.9 ± 0.2 g</t>
  </si>
  <si>
    <t>Volume</t>
  </si>
  <si>
    <t>pi*(d/2)^2*h</t>
  </si>
  <si>
    <t>cm3</t>
  </si>
  <si>
    <t>a.</t>
  </si>
  <si>
    <t>Abs Error</t>
  </si>
  <si>
    <t>Rel Error</t>
  </si>
  <si>
    <t>MEE</t>
  </si>
  <si>
    <t>MPE</t>
  </si>
  <si>
    <t>V</t>
  </si>
  <si>
    <t xml:space="preserve">V = </t>
  </si>
  <si>
    <t>Mwet</t>
  </si>
  <si>
    <t>water density</t>
  </si>
  <si>
    <t>-</t>
  </si>
  <si>
    <t>ΔV</t>
  </si>
  <si>
    <t>Uncertainty</t>
  </si>
  <si>
    <t>=</t>
  </si>
  <si>
    <t>ΔV / V</t>
  </si>
  <si>
    <t>b.</t>
  </si>
  <si>
    <t>Gs</t>
  </si>
  <si>
    <t>m dry</t>
  </si>
  <si>
    <t>m dry - m submerged</t>
  </si>
  <si>
    <t>Pd</t>
  </si>
  <si>
    <t>M wet -M dry</t>
  </si>
  <si>
    <t>M dry</t>
  </si>
  <si>
    <t>ΔGs/Gs</t>
  </si>
  <si>
    <t>ΔGs</t>
  </si>
  <si>
    <t>W</t>
  </si>
  <si>
    <t>ΔW</t>
  </si>
  <si>
    <t>ΔW/W</t>
  </si>
  <si>
    <t>Δpd/pd</t>
  </si>
  <si>
    <t>Δpd</t>
  </si>
  <si>
    <t>c.</t>
  </si>
  <si>
    <t>n</t>
  </si>
  <si>
    <t>pg</t>
  </si>
  <si>
    <t>1 g/cm3</t>
  </si>
  <si>
    <t>e</t>
  </si>
  <si>
    <t>1 + e</t>
  </si>
  <si>
    <t>d.</t>
  </si>
  <si>
    <t>Sr</t>
  </si>
  <si>
    <t>w *GS</t>
  </si>
  <si>
    <t>Sr = 1</t>
  </si>
  <si>
    <t>Q2</t>
  </si>
  <si>
    <t>eSr = wGs</t>
  </si>
  <si>
    <t>i.</t>
  </si>
  <si>
    <t>Constant head of Air at 15 deg</t>
  </si>
  <si>
    <t>kg/m^3</t>
  </si>
  <si>
    <t>Pa.s</t>
  </si>
  <si>
    <t>ii.</t>
  </si>
  <si>
    <t>Falling head on a sample saturated with water at 15 deg</t>
  </si>
  <si>
    <t>Dimensions</t>
  </si>
  <si>
    <t>diameter</t>
  </si>
  <si>
    <t>height</t>
  </si>
  <si>
    <t>cm</t>
  </si>
  <si>
    <t>Measuring permeability (K) using constant and falling head</t>
  </si>
  <si>
    <t>Defining hydraulic conductivity and permeability</t>
  </si>
  <si>
    <t>g</t>
  </si>
  <si>
    <t>m/s^2</t>
  </si>
  <si>
    <t>332.1 ± 0.2 g</t>
  </si>
  <si>
    <t>Air pressure (Kpa)</t>
  </si>
  <si>
    <t>Air pressure (Pa)</t>
  </si>
  <si>
    <t>1kpa = 1000pa</t>
  </si>
  <si>
    <t>Flow rate (cm3/s)</t>
  </si>
  <si>
    <t>206.48 ± 4</t>
  </si>
  <si>
    <t>Assumptions on e,w, and Gs in their general formula  make it hard to get or calculate an exact value except for 1 for Sr as the values of Sr make it hard for.</t>
  </si>
  <si>
    <t>delta H</t>
  </si>
  <si>
    <t>Mean</t>
  </si>
  <si>
    <t>Uw (mu water)</t>
  </si>
  <si>
    <t>Ua (mu air)</t>
  </si>
  <si>
    <t>Pa (roh air)</t>
  </si>
  <si>
    <t>Pa (roh water)</t>
  </si>
  <si>
    <t>Falling head calculation</t>
  </si>
  <si>
    <t>Hi (cm)</t>
  </si>
  <si>
    <t>Hf (cm)</t>
  </si>
  <si>
    <t xml:space="preserve">Water Volume </t>
  </si>
  <si>
    <t>Time (s)</t>
  </si>
  <si>
    <t>Hi / Hf</t>
  </si>
  <si>
    <t>205.2 ± 0.3</t>
  </si>
  <si>
    <t>K (air) cm/s</t>
  </si>
  <si>
    <t>k (permeability) (m^2)</t>
  </si>
  <si>
    <t>K (water) cm/s</t>
  </si>
  <si>
    <t>K(permreability) (m^2)</t>
  </si>
  <si>
    <t>Approximately</t>
  </si>
  <si>
    <t>Constant head calculation</t>
  </si>
  <si>
    <t>Volume Calculation: Geometric Method</t>
  </si>
  <si>
    <t>Volume Calculation: Archimedes Method</t>
  </si>
  <si>
    <t>Msub</t>
  </si>
  <si>
    <t>The relative error obtained from implementing the Archimedes method was overall more reliable in estimating our volumes because the value obtained showed a lower relative error.</t>
  </si>
  <si>
    <t>Hydraulic conductivity is defined as the measure of the ease through which fluids moves throug a permeable body for example soil. Permeability is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</si>
</sst>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68" formatCode="0.0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7" applyNumberFormat="0" applyAlignment="0" applyProtection="0"/>
    <xf numFmtId="0" fontId="7" fillId="7" borderId="8" applyNumberFormat="0" applyAlignment="0" applyProtection="0"/>
    <xf numFmtId="0" fontId="8" fillId="7" borderId="7" applyNumberFormat="0" applyAlignment="0" applyProtection="0"/>
    <xf numFmtId="0" fontId="2" fillId="8" borderId="9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3" borderId="1" xfId="1" applyBorder="1" applyAlignment="1">
      <alignment horizontal="center" vertical="center"/>
    </xf>
    <xf numFmtId="0" fontId="3" fillId="3" borderId="6" xfId="1" applyBorder="1" applyAlignment="1">
      <alignment horizontal="center" vertical="center"/>
    </xf>
    <xf numFmtId="0" fontId="3" fillId="3" borderId="4" xfId="1" applyBorder="1" applyAlignment="1">
      <alignment horizontal="center" vertical="center"/>
    </xf>
    <xf numFmtId="0" fontId="3" fillId="3" borderId="2" xfId="1" applyBorder="1" applyAlignment="1">
      <alignment horizontal="center" vertical="center"/>
    </xf>
    <xf numFmtId="0" fontId="3" fillId="3" borderId="3" xfId="1" applyBorder="1" applyAlignment="1">
      <alignment horizontal="center" vertical="center"/>
    </xf>
    <xf numFmtId="0" fontId="6" fillId="6" borderId="7" xfId="4" applyAlignment="1">
      <alignment horizontal="center" vertical="center"/>
    </xf>
    <xf numFmtId="0" fontId="6" fillId="6" borderId="7" xfId="4" applyAlignment="1">
      <alignment horizontal="center" vertical="center"/>
    </xf>
    <xf numFmtId="0" fontId="4" fillId="4" borderId="1" xfId="2" applyBorder="1" applyAlignment="1">
      <alignment horizontal="center" vertical="center"/>
    </xf>
    <xf numFmtId="0" fontId="0" fillId="8" borderId="1" xfId="7" applyFont="1" applyBorder="1" applyAlignment="1">
      <alignment horizontal="center" vertical="center"/>
    </xf>
    <xf numFmtId="0" fontId="5" fillId="5" borderId="1" xfId="3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6" borderId="1" xfId="4" applyBorder="1" applyAlignment="1">
      <alignment horizontal="center" vertical="center"/>
    </xf>
    <xf numFmtId="0" fontId="6" fillId="6" borderId="1" xfId="4" applyBorder="1" applyAlignment="1">
      <alignment horizontal="center" vertical="center"/>
    </xf>
    <xf numFmtId="11" fontId="6" fillId="6" borderId="1" xfId="4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3" fillId="3" borderId="1" xfId="1" applyNumberFormat="1" applyBorder="1" applyAlignment="1">
      <alignment horizontal="center" vertical="center"/>
    </xf>
    <xf numFmtId="2" fontId="3" fillId="3" borderId="1" xfId="1" applyNumberFormat="1" applyBorder="1" applyAlignment="1">
      <alignment horizontal="center" vertical="center"/>
    </xf>
    <xf numFmtId="168" fontId="3" fillId="3" borderId="1" xfId="1" applyNumberFormat="1" applyBorder="1" applyAlignment="1">
      <alignment horizontal="center" vertical="center"/>
    </xf>
    <xf numFmtId="1" fontId="3" fillId="3" borderId="1" xfId="1" applyNumberFormat="1" applyBorder="1" applyAlignment="1">
      <alignment horizontal="center" vertical="center"/>
    </xf>
    <xf numFmtId="166" fontId="3" fillId="3" borderId="6" xfId="1" applyNumberFormat="1" applyBorder="1" applyAlignment="1">
      <alignment horizontal="center" vertical="center"/>
    </xf>
    <xf numFmtId="166" fontId="3" fillId="3" borderId="4" xfId="1" applyNumberFormat="1" applyBorder="1" applyAlignment="1">
      <alignment horizontal="center" vertical="center"/>
    </xf>
    <xf numFmtId="167" fontId="3" fillId="3" borderId="6" xfId="1" applyNumberFormat="1" applyBorder="1" applyAlignment="1">
      <alignment horizontal="center" vertical="center"/>
    </xf>
    <xf numFmtId="167" fontId="3" fillId="3" borderId="4" xfId="1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3" fillId="3" borderId="1" xfId="1" applyBorder="1" applyAlignment="1">
      <alignment horizontal="center" vertical="center" wrapText="1"/>
    </xf>
    <xf numFmtId="0" fontId="7" fillId="7" borderId="8" xfId="5" applyAlignment="1">
      <alignment horizontal="center" vertical="center"/>
    </xf>
    <xf numFmtId="0" fontId="7" fillId="7" borderId="1" xfId="5" applyBorder="1" applyAlignment="1">
      <alignment horizontal="center" vertical="center"/>
    </xf>
    <xf numFmtId="0" fontId="0" fillId="8" borderId="1" xfId="7" applyFont="1" applyBorder="1" applyAlignment="1">
      <alignment horizontal="center" vertical="center"/>
    </xf>
    <xf numFmtId="11" fontId="0" fillId="8" borderId="1" xfId="7" applyNumberFormat="1" applyFont="1" applyBorder="1" applyAlignment="1">
      <alignment horizontal="center" vertical="center"/>
    </xf>
    <xf numFmtId="11" fontId="3" fillId="3" borderId="1" xfId="1" applyNumberFormat="1" applyBorder="1" applyAlignment="1">
      <alignment horizontal="center" vertical="center" wrapText="1"/>
    </xf>
    <xf numFmtId="11" fontId="3" fillId="3" borderId="1" xfId="1" applyNumberFormat="1" applyBorder="1" applyAlignment="1">
      <alignment horizontal="center" vertical="center"/>
    </xf>
    <xf numFmtId="0" fontId="2" fillId="10" borderId="1" xfId="9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1" fontId="5" fillId="5" borderId="1" xfId="3" applyNumberFormat="1" applyBorder="1" applyAlignment="1">
      <alignment horizontal="center" vertical="center"/>
    </xf>
    <xf numFmtId="0" fontId="0" fillId="10" borderId="3" xfId="9" applyFont="1" applyBorder="1" applyAlignment="1">
      <alignment horizontal="center" vertical="center" wrapText="1"/>
    </xf>
    <xf numFmtId="0" fontId="8" fillId="7" borderId="7" xfId="6" applyAlignment="1">
      <alignment horizontal="center" vertical="center"/>
    </xf>
    <xf numFmtId="0" fontId="2" fillId="9" borderId="1" xfId="8" applyBorder="1" applyAlignment="1">
      <alignment horizontal="center" vertical="center" wrapText="1"/>
    </xf>
    <xf numFmtId="0" fontId="0" fillId="8" borderId="9" xfId="7" applyFont="1" applyAlignment="1">
      <alignment horizontal="center" vertical="center" wrapText="1"/>
    </xf>
  </cellXfs>
  <cellStyles count="10">
    <cellStyle name="20% - Accent3" xfId="8" builtinId="38"/>
    <cellStyle name="20% - Accent6" xfId="9" builtinId="50"/>
    <cellStyle name="Bad" xfId="2" builtinId="27"/>
    <cellStyle name="Calculation" xfId="6" builtinId="22"/>
    <cellStyle name="Good" xfId="1" builtinId="26"/>
    <cellStyle name="Input" xfId="4" builtinId="20"/>
    <cellStyle name="Neutral" xfId="3" builtinId="28"/>
    <cellStyle name="Normal" xfId="0" builtinId="0"/>
    <cellStyle name="Note" xfId="7" builtinId="10"/>
    <cellStyle name="Output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8459-EBEC-41FB-B17C-451A91D2DEB3}">
  <dimension ref="A2:R47"/>
  <sheetViews>
    <sheetView zoomScale="80" zoomScaleNormal="80" workbookViewId="0">
      <selection activeCell="K38" sqref="K38"/>
    </sheetView>
  </sheetViews>
  <sheetFormatPr defaultRowHeight="14.4" x14ac:dyDescent="0.3"/>
  <cols>
    <col min="1" max="2" width="8.88671875" style="2"/>
    <col min="3" max="3" width="12.6640625" style="2" bestFit="1" customWidth="1"/>
    <col min="4" max="4" width="14.5546875" style="2" customWidth="1"/>
    <col min="5" max="5" width="7.44140625" style="2" customWidth="1"/>
    <col min="6" max="6" width="10.5546875" style="2" customWidth="1"/>
    <col min="7" max="8" width="8.88671875" style="2"/>
    <col min="9" max="9" width="9.5546875" style="2" customWidth="1"/>
    <col min="10" max="10" width="8.88671875" style="2"/>
    <col min="11" max="11" width="11.6640625" style="2" customWidth="1"/>
    <col min="12" max="12" width="11.33203125" style="2" customWidth="1"/>
    <col min="13" max="13" width="12.5546875" style="2" customWidth="1"/>
    <col min="14" max="16384" width="8.88671875" style="2"/>
  </cols>
  <sheetData>
    <row r="2" spans="1:18" x14ac:dyDescent="0.3">
      <c r="A2" s="1" t="s">
        <v>3</v>
      </c>
      <c r="B2" s="17" t="s">
        <v>2</v>
      </c>
      <c r="C2" s="17"/>
      <c r="D2" s="17"/>
      <c r="E2" s="17"/>
      <c r="F2" s="17"/>
      <c r="H2" s="17" t="s">
        <v>4</v>
      </c>
      <c r="I2" s="17"/>
      <c r="J2" s="17" t="s">
        <v>66</v>
      </c>
      <c r="K2" s="17"/>
      <c r="L2" s="17"/>
    </row>
    <row r="3" spans="1:18" x14ac:dyDescent="0.3">
      <c r="B3" s="17" t="s">
        <v>1</v>
      </c>
      <c r="C3" s="17"/>
      <c r="D3" s="17"/>
      <c r="E3" s="17"/>
      <c r="F3" s="17"/>
      <c r="H3" s="17" t="s">
        <v>5</v>
      </c>
      <c r="I3" s="17"/>
      <c r="J3" s="17" t="s">
        <v>6</v>
      </c>
      <c r="K3" s="17"/>
      <c r="L3" s="17"/>
    </row>
    <row r="4" spans="1:18" x14ac:dyDescent="0.3">
      <c r="B4" s="17" t="s">
        <v>0</v>
      </c>
      <c r="C4" s="17"/>
      <c r="D4" s="17"/>
      <c r="E4" s="17"/>
      <c r="F4" s="17"/>
      <c r="H4" s="17" t="s">
        <v>7</v>
      </c>
      <c r="I4" s="17"/>
      <c r="J4" s="17" t="s">
        <v>8</v>
      </c>
      <c r="K4" s="17"/>
      <c r="L4" s="17"/>
    </row>
    <row r="6" spans="1:18" x14ac:dyDescent="0.3">
      <c r="B6" s="18" t="s">
        <v>42</v>
      </c>
      <c r="C6" s="18" t="s">
        <v>43</v>
      </c>
    </row>
    <row r="11" spans="1:18" x14ac:dyDescent="0.3">
      <c r="A11" s="1" t="s">
        <v>12</v>
      </c>
      <c r="B11" s="9" t="s">
        <v>92</v>
      </c>
      <c r="C11" s="10"/>
      <c r="D11" s="11"/>
      <c r="E11" s="7" t="s">
        <v>13</v>
      </c>
      <c r="F11" s="8"/>
      <c r="G11" s="1" t="s">
        <v>11</v>
      </c>
      <c r="H11" s="6" t="s">
        <v>14</v>
      </c>
      <c r="I11" s="6"/>
    </row>
    <row r="12" spans="1:18" x14ac:dyDescent="0.3">
      <c r="B12" s="7" t="s">
        <v>9</v>
      </c>
      <c r="C12" s="8"/>
      <c r="D12" s="1" t="s">
        <v>11</v>
      </c>
      <c r="E12" s="1" t="s">
        <v>15</v>
      </c>
      <c r="F12" s="1" t="s">
        <v>23</v>
      </c>
      <c r="G12" s="32">
        <f>((2*(0.05/5.16))+(0.05/9.87))*D13</f>
        <v>5.0475857142857148</v>
      </c>
      <c r="H12" s="37">
        <f>G12/$D$13</f>
        <v>2.4445701090926229E-2</v>
      </c>
      <c r="I12" s="38"/>
      <c r="K12" s="1" t="s">
        <v>22</v>
      </c>
      <c r="L12" s="15" t="s">
        <v>71</v>
      </c>
      <c r="M12" s="16"/>
      <c r="N12" s="12" t="s">
        <v>11</v>
      </c>
    </row>
    <row r="13" spans="1:18" x14ac:dyDescent="0.3">
      <c r="B13" s="9" t="s">
        <v>10</v>
      </c>
      <c r="C13" s="11"/>
      <c r="D13" s="32">
        <f>(22/7)*((5.16*5.16)/4)*(9.87)</f>
        <v>206.481528</v>
      </c>
      <c r="E13" s="1" t="s">
        <v>16</v>
      </c>
      <c r="F13" s="1" t="s">
        <v>23</v>
      </c>
      <c r="G13" s="32">
        <f>SQRT(((2*(0.05/5.16))^2)+((0.05/9.87)^2))*D13</f>
        <v>4.1360331781452588</v>
      </c>
      <c r="H13" s="37">
        <f>G13/$D$13</f>
        <v>2.003100818851582E-2</v>
      </c>
      <c r="I13" s="38"/>
      <c r="K13" s="1" t="s">
        <v>25</v>
      </c>
      <c r="L13" s="30">
        <f>G13/D13</f>
        <v>2.003100818851582E-2</v>
      </c>
    </row>
    <row r="15" spans="1:18" x14ac:dyDescent="0.3">
      <c r="B15" s="9" t="s">
        <v>93</v>
      </c>
      <c r="C15" s="10"/>
      <c r="D15" s="11"/>
      <c r="E15" s="1" t="s">
        <v>11</v>
      </c>
      <c r="F15" s="1"/>
      <c r="G15" s="1"/>
      <c r="H15" s="1"/>
      <c r="I15" s="1" t="s">
        <v>17</v>
      </c>
      <c r="J15" s="7" t="s">
        <v>13</v>
      </c>
      <c r="K15" s="8"/>
      <c r="L15" s="1" t="s">
        <v>11</v>
      </c>
      <c r="M15" s="1" t="s">
        <v>14</v>
      </c>
    </row>
    <row r="16" spans="1:18" x14ac:dyDescent="0.3">
      <c r="B16" s="1" t="s">
        <v>18</v>
      </c>
      <c r="C16" s="22" t="s">
        <v>19</v>
      </c>
      <c r="D16" s="22" t="s">
        <v>21</v>
      </c>
      <c r="E16" s="22" t="s">
        <v>94</v>
      </c>
      <c r="F16" s="1">
        <v>537.29999999999995</v>
      </c>
      <c r="G16" s="1" t="s">
        <v>21</v>
      </c>
      <c r="H16" s="1">
        <v>332.1</v>
      </c>
      <c r="I16" s="1" t="s">
        <v>11</v>
      </c>
      <c r="J16" s="1" t="s">
        <v>15</v>
      </c>
      <c r="K16" s="1" t="s">
        <v>23</v>
      </c>
      <c r="L16" s="12">
        <f>(0.2)+(0.2)/1</f>
        <v>0.4</v>
      </c>
      <c r="M16" s="28">
        <f>L16/$I$17</f>
        <v>1.9493177387914238E-3</v>
      </c>
      <c r="O16" s="1" t="s">
        <v>22</v>
      </c>
      <c r="P16" s="15" t="s">
        <v>85</v>
      </c>
      <c r="Q16" s="16"/>
      <c r="R16" s="12" t="s">
        <v>11</v>
      </c>
    </row>
    <row r="17" spans="1:16" x14ac:dyDescent="0.3">
      <c r="B17" s="1"/>
      <c r="C17" s="1"/>
      <c r="D17" s="22" t="s">
        <v>20</v>
      </c>
      <c r="E17" s="1"/>
      <c r="F17" s="1"/>
      <c r="G17" s="1">
        <v>1</v>
      </c>
      <c r="H17" s="1"/>
      <c r="I17" s="12">
        <f>(F16-H16)/1</f>
        <v>205.19999999999993</v>
      </c>
      <c r="J17" s="1" t="s">
        <v>16</v>
      </c>
      <c r="K17" s="1" t="s">
        <v>23</v>
      </c>
      <c r="L17" s="31">
        <f>(SQRT((0.2^2)+(0.2^2)))/1</f>
        <v>0.28284271247461906</v>
      </c>
      <c r="M17" s="28">
        <f>L17/$I$17</f>
        <v>1.378375791786643E-3</v>
      </c>
      <c r="O17" s="1" t="s">
        <v>25</v>
      </c>
      <c r="P17" s="29">
        <f>L17/I17</f>
        <v>1.378375791786643E-3</v>
      </c>
    </row>
    <row r="19" spans="1:16" x14ac:dyDescent="0.3">
      <c r="B19" s="52" t="s">
        <v>95</v>
      </c>
      <c r="C19" s="52"/>
      <c r="D19" s="52"/>
      <c r="E19" s="52"/>
      <c r="F19" s="52"/>
      <c r="G19" s="52"/>
      <c r="H19" s="52"/>
      <c r="I19" s="52"/>
      <c r="J19" s="52"/>
      <c r="K19" s="52"/>
    </row>
    <row r="20" spans="1:16" x14ac:dyDescent="0.3"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6" x14ac:dyDescent="0.3"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6" x14ac:dyDescent="0.3"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16" x14ac:dyDescent="0.3"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5" spans="1:16" x14ac:dyDescent="0.3">
      <c r="A25" s="1" t="s">
        <v>26</v>
      </c>
      <c r="B25" s="4" t="s">
        <v>27</v>
      </c>
      <c r="C25" s="4" t="s">
        <v>24</v>
      </c>
      <c r="D25" s="9" t="s">
        <v>28</v>
      </c>
      <c r="E25" s="11"/>
      <c r="F25" s="1">
        <v>530.9</v>
      </c>
      <c r="G25" s="35">
        <f>F25/F26</f>
        <v>2.6705231388329986</v>
      </c>
      <c r="I25" s="4" t="s">
        <v>34</v>
      </c>
      <c r="J25" s="35">
        <f>SQRT((0.2/530.9)^2+((0.2+0.2)/(F26))^2)*G25</f>
        <v>5.4666544833054257E-3</v>
      </c>
      <c r="L25" s="4" t="s">
        <v>33</v>
      </c>
      <c r="M25" s="1">
        <f>J25</f>
        <v>5.4666544833054257E-3</v>
      </c>
      <c r="N25" s="35">
        <f>M25/M26</f>
        <v>2.0470350560955327E-3</v>
      </c>
    </row>
    <row r="26" spans="1:16" x14ac:dyDescent="0.3">
      <c r="B26" s="5"/>
      <c r="C26" s="5"/>
      <c r="D26" s="9" t="s">
        <v>29</v>
      </c>
      <c r="E26" s="11"/>
      <c r="F26" s="1">
        <f>F25-H16</f>
        <v>198.79999999999995</v>
      </c>
      <c r="G26" s="36"/>
      <c r="I26" s="5"/>
      <c r="J26" s="36"/>
      <c r="L26" s="5"/>
      <c r="M26" s="1">
        <f>G25</f>
        <v>2.6705231388329986</v>
      </c>
      <c r="N26" s="36"/>
    </row>
    <row r="28" spans="1:16" x14ac:dyDescent="0.3">
      <c r="B28" s="4" t="s">
        <v>35</v>
      </c>
      <c r="C28" s="4" t="s">
        <v>24</v>
      </c>
      <c r="D28" s="22" t="s">
        <v>31</v>
      </c>
      <c r="E28" s="1">
        <f>F16-F25</f>
        <v>6.3999999999999773</v>
      </c>
      <c r="F28" s="33">
        <f>E28/E29</f>
        <v>1.2055000941796906E-2</v>
      </c>
      <c r="H28" s="4" t="s">
        <v>36</v>
      </c>
      <c r="I28" s="33">
        <f>SQRT((0.4/E28)^2+(0.2/F25)^2)*F28</f>
        <v>7.5345124521829037E-4</v>
      </c>
      <c r="K28" s="4" t="s">
        <v>37</v>
      </c>
      <c r="L28" s="1">
        <f>I28</f>
        <v>7.5345124521829037E-4</v>
      </c>
      <c r="M28" s="13">
        <f>L28/L29</f>
        <v>6.2501135325998713E-2</v>
      </c>
    </row>
    <row r="29" spans="1:16" x14ac:dyDescent="0.3">
      <c r="B29" s="5"/>
      <c r="C29" s="5"/>
      <c r="D29" s="22" t="s">
        <v>32</v>
      </c>
      <c r="E29" s="1">
        <f>F25</f>
        <v>530.9</v>
      </c>
      <c r="F29" s="34"/>
      <c r="H29" s="5"/>
      <c r="I29" s="34"/>
      <c r="K29" s="5"/>
      <c r="L29" s="1">
        <f>F28</f>
        <v>1.2055000941796906E-2</v>
      </c>
      <c r="M29" s="14"/>
    </row>
    <row r="31" spans="1:16" x14ac:dyDescent="0.3">
      <c r="B31" s="4" t="s">
        <v>30</v>
      </c>
      <c r="C31" s="4" t="s">
        <v>24</v>
      </c>
      <c r="D31" s="22" t="s">
        <v>32</v>
      </c>
      <c r="E31" s="1">
        <f>F25</f>
        <v>530.9</v>
      </c>
      <c r="F31" s="35">
        <f>E31/E32</f>
        <v>2.5872319688109169</v>
      </c>
      <c r="H31" s="4" t="s">
        <v>39</v>
      </c>
      <c r="I31" s="35">
        <f>SQRT((0.2/E29)^2+(P17)^2)*F31</f>
        <v>3.6969696810700515E-3</v>
      </c>
      <c r="K31" s="4" t="s">
        <v>38</v>
      </c>
      <c r="L31" s="35">
        <f>I31/F31</f>
        <v>1.4289285713987086E-3</v>
      </c>
    </row>
    <row r="32" spans="1:16" x14ac:dyDescent="0.3">
      <c r="B32" s="5"/>
      <c r="C32" s="5"/>
      <c r="D32" s="22" t="s">
        <v>9</v>
      </c>
      <c r="E32" s="1">
        <f>I17</f>
        <v>205.19999999999993</v>
      </c>
      <c r="F32" s="36"/>
      <c r="H32" s="5"/>
      <c r="I32" s="36"/>
      <c r="K32" s="5"/>
      <c r="L32" s="36"/>
    </row>
    <row r="34" spans="1:10" x14ac:dyDescent="0.3">
      <c r="A34" s="3" t="s">
        <v>40</v>
      </c>
      <c r="B34" s="1" t="s">
        <v>44</v>
      </c>
      <c r="C34" s="1" t="s">
        <v>24</v>
      </c>
      <c r="D34" s="22" t="s">
        <v>27</v>
      </c>
      <c r="E34" s="1" t="s">
        <v>21</v>
      </c>
      <c r="F34" s="1">
        <v>1</v>
      </c>
      <c r="H34" s="1" t="s">
        <v>41</v>
      </c>
      <c r="I34" s="1" t="s">
        <v>24</v>
      </c>
      <c r="J34" s="22" t="s">
        <v>44</v>
      </c>
    </row>
    <row r="35" spans="1:10" x14ac:dyDescent="0.3">
      <c r="B35" s="1"/>
      <c r="C35" s="1"/>
      <c r="D35" s="22" t="s">
        <v>30</v>
      </c>
      <c r="E35" s="1"/>
      <c r="F35" s="1"/>
      <c r="H35" s="1"/>
      <c r="I35" s="1"/>
      <c r="J35" s="22" t="s">
        <v>45</v>
      </c>
    </row>
    <row r="36" spans="1:10" x14ac:dyDescent="0.3">
      <c r="B36" s="1" t="s">
        <v>44</v>
      </c>
      <c r="C36" s="1" t="s">
        <v>24</v>
      </c>
      <c r="D36" s="1">
        <f>G25</f>
        <v>2.6705231388329986</v>
      </c>
      <c r="E36" s="1" t="s">
        <v>21</v>
      </c>
      <c r="F36" s="1">
        <v>1</v>
      </c>
      <c r="H36" s="1" t="s">
        <v>41</v>
      </c>
      <c r="I36" s="1" t="s">
        <v>24</v>
      </c>
      <c r="J36" s="1">
        <f>D38</f>
        <v>3.2193158953722323E-2</v>
      </c>
    </row>
    <row r="37" spans="1:10" x14ac:dyDescent="0.3">
      <c r="B37" s="1"/>
      <c r="C37" s="1"/>
      <c r="D37" s="1">
        <f>F31</f>
        <v>2.5872319688109169</v>
      </c>
      <c r="E37" s="1"/>
      <c r="F37" s="1"/>
      <c r="H37" s="1"/>
      <c r="I37" s="1"/>
      <c r="J37" s="1">
        <f>(1+D38)</f>
        <v>1.0321931589537223</v>
      </c>
    </row>
    <row r="38" spans="1:10" x14ac:dyDescent="0.3">
      <c r="B38" s="1" t="s">
        <v>44</v>
      </c>
      <c r="C38" s="1" t="s">
        <v>24</v>
      </c>
      <c r="D38" s="12">
        <f>(D36/D37)-1</f>
        <v>3.2193158953722323E-2</v>
      </c>
      <c r="E38" s="1"/>
      <c r="F38" s="1"/>
      <c r="H38" s="1" t="s">
        <v>41</v>
      </c>
      <c r="I38" s="1" t="s">
        <v>24</v>
      </c>
      <c r="J38" s="12">
        <f>J36/J37</f>
        <v>3.1189083820662756E-2</v>
      </c>
    </row>
    <row r="42" spans="1:10" x14ac:dyDescent="0.3">
      <c r="A42" s="3" t="s">
        <v>46</v>
      </c>
      <c r="B42" s="20" t="s">
        <v>51</v>
      </c>
      <c r="C42" s="20"/>
      <c r="D42" s="20"/>
      <c r="F42" s="21" t="s">
        <v>49</v>
      </c>
    </row>
    <row r="43" spans="1:10" x14ac:dyDescent="0.3">
      <c r="B43" s="1" t="s">
        <v>47</v>
      </c>
      <c r="C43" s="1" t="s">
        <v>24</v>
      </c>
      <c r="D43" s="22" t="s">
        <v>48</v>
      </c>
    </row>
    <row r="44" spans="1:10" ht="14.4" customHeight="1" x14ac:dyDescent="0.3">
      <c r="B44" s="1"/>
      <c r="C44" s="1"/>
      <c r="D44" s="22" t="s">
        <v>44</v>
      </c>
      <c r="F44" s="39" t="s">
        <v>72</v>
      </c>
      <c r="G44" s="39"/>
      <c r="H44" s="39"/>
      <c r="I44" s="39"/>
    </row>
    <row r="45" spans="1:10" x14ac:dyDescent="0.3">
      <c r="B45" s="1" t="s">
        <v>47</v>
      </c>
      <c r="C45" s="1" t="s">
        <v>24</v>
      </c>
      <c r="D45" s="1">
        <f>(F28*G25)</f>
        <v>3.2193158953722226E-2</v>
      </c>
      <c r="F45" s="39"/>
      <c r="G45" s="39"/>
      <c r="H45" s="39"/>
      <c r="I45" s="39"/>
    </row>
    <row r="46" spans="1:10" x14ac:dyDescent="0.3">
      <c r="B46" s="1"/>
      <c r="C46" s="1"/>
      <c r="D46" s="1">
        <f>D38</f>
        <v>3.2193158953722323E-2</v>
      </c>
      <c r="F46" s="39"/>
      <c r="G46" s="39"/>
      <c r="H46" s="39"/>
      <c r="I46" s="39"/>
    </row>
    <row r="47" spans="1:10" x14ac:dyDescent="0.3">
      <c r="B47" s="1" t="s">
        <v>47</v>
      </c>
      <c r="C47" s="1" t="s">
        <v>24</v>
      </c>
      <c r="D47" s="12">
        <f>D45/D46</f>
        <v>0.999999999999997</v>
      </c>
      <c r="F47" s="39"/>
      <c r="G47" s="39"/>
      <c r="H47" s="39"/>
      <c r="I47" s="39"/>
    </row>
  </sheetData>
  <mergeCells count="46">
    <mergeCell ref="F44:I47"/>
    <mergeCell ref="B19:K23"/>
    <mergeCell ref="J2:L2"/>
    <mergeCell ref="J3:L3"/>
    <mergeCell ref="J4:L4"/>
    <mergeCell ref="I28:I29"/>
    <mergeCell ref="B42:D42"/>
    <mergeCell ref="H11:I11"/>
    <mergeCell ref="B2:F2"/>
    <mergeCell ref="B3:F3"/>
    <mergeCell ref="B4:F4"/>
    <mergeCell ref="H2:I2"/>
    <mergeCell ref="H3:I3"/>
    <mergeCell ref="H4:I4"/>
    <mergeCell ref="B15:D15"/>
    <mergeCell ref="E11:F11"/>
    <mergeCell ref="H12:I12"/>
    <mergeCell ref="H13:I13"/>
    <mergeCell ref="B11:D11"/>
    <mergeCell ref="B13:C13"/>
    <mergeCell ref="B12:C12"/>
    <mergeCell ref="J15:K15"/>
    <mergeCell ref="P16:Q16"/>
    <mergeCell ref="D26:E26"/>
    <mergeCell ref="D25:E25"/>
    <mergeCell ref="L12:M12"/>
    <mergeCell ref="B25:B26"/>
    <mergeCell ref="C25:C26"/>
    <mergeCell ref="G25:G26"/>
    <mergeCell ref="L25:L26"/>
    <mergeCell ref="N25:N26"/>
    <mergeCell ref="I25:I26"/>
    <mergeCell ref="J25:J26"/>
    <mergeCell ref="M28:M29"/>
    <mergeCell ref="K28:K29"/>
    <mergeCell ref="K31:K32"/>
    <mergeCell ref="L31:L32"/>
    <mergeCell ref="F31:F32"/>
    <mergeCell ref="H28:H29"/>
    <mergeCell ref="B28:B29"/>
    <mergeCell ref="C28:C29"/>
    <mergeCell ref="F28:F29"/>
    <mergeCell ref="C31:C32"/>
    <mergeCell ref="I31:I32"/>
    <mergeCell ref="H31:H32"/>
    <mergeCell ref="B31:B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6AF4-9254-4448-BB25-202C93612D60}">
  <dimension ref="A2:K44"/>
  <sheetViews>
    <sheetView tabSelected="1" zoomScale="80" zoomScaleNormal="80" workbookViewId="0">
      <selection activeCell="B39" sqref="B39:I44"/>
    </sheetView>
  </sheetViews>
  <sheetFormatPr defaultRowHeight="14.4" x14ac:dyDescent="0.3"/>
  <cols>
    <col min="1" max="1" width="8.88671875" style="2" customWidth="1"/>
    <col min="2" max="2" width="8.44140625" style="2" customWidth="1"/>
    <col min="3" max="3" width="21.6640625" style="2" customWidth="1"/>
    <col min="4" max="4" width="17.6640625" style="2" customWidth="1"/>
    <col min="5" max="5" width="16.77734375" style="2" customWidth="1"/>
    <col min="6" max="6" width="13.109375" style="2" customWidth="1"/>
    <col min="7" max="7" width="14.21875" style="2" customWidth="1"/>
    <col min="8" max="8" width="20.6640625" style="2" customWidth="1"/>
    <col min="9" max="16384" width="8.88671875" style="2"/>
  </cols>
  <sheetData>
    <row r="2" spans="1:11" x14ac:dyDescent="0.3">
      <c r="A2" s="1" t="s">
        <v>50</v>
      </c>
      <c r="B2" s="27" t="s">
        <v>62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3">
      <c r="B3" s="24" t="s">
        <v>52</v>
      </c>
      <c r="C3" s="25" t="s">
        <v>53</v>
      </c>
      <c r="D3" s="25"/>
      <c r="E3" s="25"/>
      <c r="F3" s="25"/>
      <c r="G3" s="25"/>
      <c r="H3" s="25"/>
      <c r="I3" s="25"/>
    </row>
    <row r="4" spans="1:11" x14ac:dyDescent="0.3">
      <c r="B4" s="24"/>
      <c r="C4" s="24" t="s">
        <v>77</v>
      </c>
      <c r="D4" s="24">
        <v>1.2250000000000001</v>
      </c>
      <c r="E4" s="24" t="s">
        <v>54</v>
      </c>
      <c r="F4" s="24" t="s">
        <v>76</v>
      </c>
      <c r="G4" s="26">
        <v>1.8099999999999999E-5</v>
      </c>
      <c r="H4" s="24" t="s">
        <v>55</v>
      </c>
      <c r="I4" s="24"/>
    </row>
    <row r="5" spans="1:11" x14ac:dyDescent="0.3">
      <c r="B5" s="24" t="s">
        <v>56</v>
      </c>
      <c r="C5" s="25" t="s">
        <v>57</v>
      </c>
      <c r="D5" s="25"/>
      <c r="E5" s="25"/>
      <c r="F5" s="25"/>
      <c r="G5" s="25"/>
      <c r="H5" s="25"/>
      <c r="I5" s="25"/>
    </row>
    <row r="6" spans="1:11" x14ac:dyDescent="0.3">
      <c r="B6" s="24"/>
      <c r="C6" s="24" t="s">
        <v>78</v>
      </c>
      <c r="D6" s="24">
        <v>999.1</v>
      </c>
      <c r="E6" s="24" t="s">
        <v>54</v>
      </c>
      <c r="F6" s="24" t="s">
        <v>75</v>
      </c>
      <c r="G6" s="26">
        <v>8.8999999999999995E-4</v>
      </c>
      <c r="H6" s="24" t="s">
        <v>55</v>
      </c>
      <c r="I6" s="24"/>
    </row>
    <row r="7" spans="1:11" x14ac:dyDescent="0.3">
      <c r="B7" s="24"/>
      <c r="C7" s="24"/>
      <c r="D7" s="24"/>
      <c r="E7" s="24"/>
      <c r="F7" s="24"/>
      <c r="G7" s="24"/>
      <c r="H7" s="24"/>
      <c r="I7" s="24"/>
    </row>
    <row r="8" spans="1:11" x14ac:dyDescent="0.3">
      <c r="B8" s="24"/>
      <c r="C8" s="25" t="s">
        <v>58</v>
      </c>
      <c r="D8" s="25"/>
      <c r="E8" s="25"/>
      <c r="F8" s="24"/>
      <c r="G8" s="24"/>
      <c r="H8" s="24"/>
      <c r="I8" s="24"/>
    </row>
    <row r="9" spans="1:11" x14ac:dyDescent="0.3">
      <c r="B9" s="24"/>
      <c r="C9" s="25" t="s">
        <v>59</v>
      </c>
      <c r="D9" s="25"/>
      <c r="E9" s="24">
        <v>6</v>
      </c>
      <c r="F9" s="24" t="s">
        <v>61</v>
      </c>
      <c r="G9" s="24" t="s">
        <v>64</v>
      </c>
      <c r="H9" s="24">
        <v>9.81</v>
      </c>
      <c r="I9" s="24" t="s">
        <v>65</v>
      </c>
    </row>
    <row r="10" spans="1:11" x14ac:dyDescent="0.3">
      <c r="B10" s="24"/>
      <c r="C10" s="25" t="s">
        <v>60</v>
      </c>
      <c r="D10" s="25"/>
      <c r="E10" s="24">
        <v>15</v>
      </c>
      <c r="F10" s="24" t="s">
        <v>61</v>
      </c>
      <c r="G10" s="24"/>
      <c r="H10" s="24"/>
      <c r="I10" s="24"/>
    </row>
    <row r="12" spans="1:11" x14ac:dyDescent="0.3">
      <c r="A12" s="3" t="s">
        <v>12</v>
      </c>
      <c r="B12" s="6" t="s">
        <v>63</v>
      </c>
      <c r="C12" s="6"/>
      <c r="D12" s="6"/>
      <c r="E12" s="6"/>
      <c r="F12" s="6"/>
      <c r="G12" s="6"/>
      <c r="H12" s="6"/>
      <c r="I12" s="6"/>
    </row>
    <row r="13" spans="1:11" x14ac:dyDescent="0.3">
      <c r="B13" s="47" t="s">
        <v>96</v>
      </c>
      <c r="C13" s="47"/>
      <c r="D13" s="47"/>
      <c r="E13" s="47"/>
      <c r="F13" s="47"/>
      <c r="G13" s="47"/>
      <c r="H13" s="47"/>
      <c r="I13" s="47"/>
    </row>
    <row r="14" spans="1:11" x14ac:dyDescent="0.3">
      <c r="B14" s="47"/>
      <c r="C14" s="47"/>
      <c r="D14" s="47"/>
      <c r="E14" s="47"/>
      <c r="F14" s="47"/>
      <c r="G14" s="47"/>
      <c r="H14" s="47"/>
      <c r="I14" s="47"/>
    </row>
    <row r="15" spans="1:11" x14ac:dyDescent="0.3">
      <c r="B15" s="47"/>
      <c r="C15" s="47"/>
      <c r="D15" s="47"/>
      <c r="E15" s="47"/>
      <c r="F15" s="47"/>
      <c r="G15" s="47"/>
      <c r="H15" s="47"/>
      <c r="I15" s="47"/>
    </row>
    <row r="17" spans="1:9" x14ac:dyDescent="0.3">
      <c r="A17" s="1" t="s">
        <v>26</v>
      </c>
      <c r="B17" s="49" t="s">
        <v>91</v>
      </c>
      <c r="C17" s="46"/>
      <c r="D17" s="46"/>
      <c r="E17" s="46"/>
      <c r="F17" s="46"/>
      <c r="G17" s="46"/>
      <c r="H17" s="46"/>
      <c r="I17" s="46"/>
    </row>
    <row r="18" spans="1:9" x14ac:dyDescent="0.3">
      <c r="B18" s="1"/>
      <c r="C18" s="1" t="s">
        <v>69</v>
      </c>
      <c r="D18" s="1">
        <v>1000</v>
      </c>
      <c r="E18" s="1"/>
      <c r="F18" s="1"/>
      <c r="G18" s="1"/>
      <c r="H18" s="1"/>
      <c r="I18" s="1"/>
    </row>
    <row r="19" spans="1:9" x14ac:dyDescent="0.3">
      <c r="B19" s="1"/>
      <c r="C19" s="41" t="s">
        <v>67</v>
      </c>
      <c r="D19" s="41" t="s">
        <v>68</v>
      </c>
      <c r="E19" s="41" t="s">
        <v>70</v>
      </c>
      <c r="F19" s="41" t="s">
        <v>73</v>
      </c>
      <c r="G19" s="41" t="s">
        <v>86</v>
      </c>
      <c r="H19" s="41" t="s">
        <v>87</v>
      </c>
      <c r="I19" s="1"/>
    </row>
    <row r="20" spans="1:9" x14ac:dyDescent="0.3">
      <c r="B20" s="1"/>
      <c r="C20" s="42">
        <v>25</v>
      </c>
      <c r="D20" s="42">
        <f>C20*$D$18</f>
        <v>25000</v>
      </c>
      <c r="E20" s="43">
        <v>47.8</v>
      </c>
      <c r="F20" s="42">
        <f>D20/($D$4*$H$9)</f>
        <v>2080.3428405001141</v>
      </c>
      <c r="G20" s="43">
        <f>E20/F20</f>
        <v>2.2976982000000003E-2</v>
      </c>
      <c r="H20" s="44">
        <f>(G24*G4)/(D4*H9)</f>
        <v>3.3786666666666674E-8</v>
      </c>
      <c r="I20" s="1"/>
    </row>
    <row r="21" spans="1:9" x14ac:dyDescent="0.3">
      <c r="B21" s="1"/>
      <c r="C21" s="42">
        <v>50</v>
      </c>
      <c r="D21" s="42">
        <f>C21*$D$18</f>
        <v>50000</v>
      </c>
      <c r="E21" s="43">
        <v>94.9</v>
      </c>
      <c r="F21" s="42">
        <f t="shared" ref="F21:F23" si="0">D21/($D$4*$H$9)</f>
        <v>4160.6856810002282</v>
      </c>
      <c r="G21" s="43">
        <f t="shared" ref="G21:G23" si="1">E21/F21</f>
        <v>2.2808740500000004E-2</v>
      </c>
      <c r="H21" s="44"/>
      <c r="I21" s="1"/>
    </row>
    <row r="22" spans="1:9" x14ac:dyDescent="0.3">
      <c r="B22" s="1"/>
      <c r="C22" s="42">
        <v>75</v>
      </c>
      <c r="D22" s="42">
        <f>C22*$D$18</f>
        <v>75000</v>
      </c>
      <c r="E22" s="43">
        <v>134</v>
      </c>
      <c r="F22" s="42">
        <f t="shared" si="0"/>
        <v>6241.0285215003432</v>
      </c>
      <c r="G22" s="43">
        <f t="shared" si="1"/>
        <v>2.1470820000000002E-2</v>
      </c>
      <c r="H22" s="44"/>
      <c r="I22" s="1"/>
    </row>
    <row r="23" spans="1:9" x14ac:dyDescent="0.3">
      <c r="B23" s="1"/>
      <c r="C23" s="42">
        <v>100</v>
      </c>
      <c r="D23" s="42">
        <f>C23*$D$18</f>
        <v>100000</v>
      </c>
      <c r="E23" s="43">
        <v>187</v>
      </c>
      <c r="F23" s="42">
        <f t="shared" si="0"/>
        <v>8321.3713620004564</v>
      </c>
      <c r="G23" s="43">
        <f t="shared" si="1"/>
        <v>2.2472257500000002E-2</v>
      </c>
      <c r="H23" s="44"/>
      <c r="I23" s="1"/>
    </row>
    <row r="24" spans="1:9" x14ac:dyDescent="0.3">
      <c r="B24" s="19" t="s">
        <v>74</v>
      </c>
      <c r="C24" s="1"/>
      <c r="D24" s="1"/>
      <c r="E24" s="1"/>
      <c r="F24" s="1"/>
      <c r="G24" s="45">
        <f>AVERAGE(G20:G23)</f>
        <v>2.2432200000000006E-2</v>
      </c>
      <c r="H24" s="44"/>
      <c r="I24" s="1"/>
    </row>
    <row r="25" spans="1:9" x14ac:dyDescent="0.3">
      <c r="B25" s="1"/>
      <c r="C25" s="1"/>
      <c r="D25" s="1"/>
      <c r="E25" s="1"/>
      <c r="F25" s="1"/>
      <c r="G25" s="1"/>
      <c r="H25" s="1"/>
      <c r="I25" s="1"/>
    </row>
    <row r="28" spans="1:9" x14ac:dyDescent="0.3">
      <c r="A28" s="3" t="s">
        <v>40</v>
      </c>
      <c r="B28" s="51" t="s">
        <v>79</v>
      </c>
      <c r="C28" s="51"/>
      <c r="D28" s="51"/>
      <c r="E28" s="51"/>
      <c r="F28" s="51"/>
      <c r="G28" s="51"/>
      <c r="H28" s="51"/>
      <c r="I28" s="51"/>
    </row>
    <row r="29" spans="1:9" x14ac:dyDescent="0.3">
      <c r="B29" s="1"/>
      <c r="C29" s="40" t="s">
        <v>80</v>
      </c>
      <c r="D29" s="40">
        <v>70</v>
      </c>
      <c r="E29" s="40" t="s">
        <v>83</v>
      </c>
      <c r="F29" s="40">
        <v>7200</v>
      </c>
      <c r="G29" s="1"/>
      <c r="H29" s="1"/>
      <c r="I29" s="1"/>
    </row>
    <row r="30" spans="1:9" x14ac:dyDescent="0.3">
      <c r="B30" s="1"/>
      <c r="C30" s="40" t="s">
        <v>81</v>
      </c>
      <c r="D30" s="40">
        <v>11</v>
      </c>
      <c r="E30" s="40" t="s">
        <v>82</v>
      </c>
      <c r="F30" s="40">
        <v>871</v>
      </c>
      <c r="G30" s="1"/>
      <c r="H30" s="1"/>
      <c r="I30" s="1"/>
    </row>
    <row r="31" spans="1:9" x14ac:dyDescent="0.3">
      <c r="B31" s="1"/>
      <c r="C31" s="40"/>
      <c r="D31" s="40"/>
      <c r="E31" s="40"/>
      <c r="F31" s="40"/>
      <c r="G31" s="1"/>
      <c r="H31" s="1"/>
      <c r="I31" s="1"/>
    </row>
    <row r="32" spans="1:9" x14ac:dyDescent="0.3">
      <c r="B32" s="1"/>
      <c r="C32" s="40" t="s">
        <v>84</v>
      </c>
      <c r="D32" s="50">
        <f>D29/D30</f>
        <v>6.3636363636363633</v>
      </c>
      <c r="E32" s="1"/>
      <c r="F32" s="1"/>
      <c r="G32" s="1"/>
      <c r="H32" s="1"/>
      <c r="I32" s="1"/>
    </row>
    <row r="33" spans="1:9" x14ac:dyDescent="0.3">
      <c r="B33" s="1"/>
      <c r="C33" s="40" t="s">
        <v>73</v>
      </c>
      <c r="D33" s="50">
        <f>LN(D32)</f>
        <v>1.8505999692509885</v>
      </c>
      <c r="E33" s="1"/>
      <c r="F33" s="1"/>
      <c r="G33" s="1"/>
      <c r="H33" s="1"/>
      <c r="I33" s="1"/>
    </row>
    <row r="34" spans="1:9" x14ac:dyDescent="0.3">
      <c r="B34" s="1"/>
      <c r="C34" s="40" t="s">
        <v>88</v>
      </c>
      <c r="D34" s="48">
        <f>((F30)/ ((22/7)*(6/2)^2*(F29)))*(LN(70/11))</f>
        <v>7.9146380559226136E-3</v>
      </c>
      <c r="E34" s="1"/>
      <c r="F34" s="1"/>
      <c r="G34" s="1"/>
      <c r="H34" s="1"/>
      <c r="I34" s="1"/>
    </row>
    <row r="35" spans="1:9" x14ac:dyDescent="0.3">
      <c r="B35" s="1"/>
      <c r="C35" s="40" t="s">
        <v>89</v>
      </c>
      <c r="D35" s="21">
        <f>D34*(0.00089)/(999.1*9.81)</f>
        <v>7.1869247764079674E-10</v>
      </c>
      <c r="E35" s="1" t="s">
        <v>90</v>
      </c>
      <c r="F35" s="45">
        <v>7.19E-10</v>
      </c>
      <c r="G35" s="1"/>
      <c r="H35" s="1"/>
      <c r="I35" s="1"/>
    </row>
    <row r="36" spans="1:9" x14ac:dyDescent="0.3">
      <c r="B36" s="1"/>
      <c r="C36" s="1"/>
      <c r="D36" s="1"/>
      <c r="E36" s="1"/>
      <c r="F36" s="1"/>
      <c r="G36" s="1"/>
      <c r="H36" s="1"/>
      <c r="I36" s="1"/>
    </row>
    <row r="38" spans="1:9" x14ac:dyDescent="0.3">
      <c r="A38" s="3" t="s">
        <v>46</v>
      </c>
      <c r="B38" s="47"/>
      <c r="C38" s="47"/>
      <c r="D38" s="47"/>
      <c r="E38" s="47"/>
      <c r="F38" s="47"/>
      <c r="G38" s="47"/>
      <c r="H38" s="47"/>
      <c r="I38" s="47"/>
    </row>
    <row r="39" spans="1:9" x14ac:dyDescent="0.3">
      <c r="B39" s="47"/>
      <c r="C39" s="47"/>
      <c r="D39" s="47"/>
      <c r="E39" s="47"/>
      <c r="F39" s="47"/>
      <c r="G39" s="47"/>
      <c r="H39" s="47"/>
      <c r="I39" s="47"/>
    </row>
    <row r="40" spans="1:9" x14ac:dyDescent="0.3">
      <c r="B40" s="47"/>
      <c r="C40" s="47"/>
      <c r="D40" s="47"/>
      <c r="E40" s="47"/>
      <c r="F40" s="47"/>
      <c r="G40" s="47"/>
      <c r="H40" s="47"/>
      <c r="I40" s="47"/>
    </row>
    <row r="41" spans="1:9" x14ac:dyDescent="0.3">
      <c r="B41" s="47"/>
      <c r="C41" s="47"/>
      <c r="D41" s="47"/>
      <c r="E41" s="47"/>
      <c r="F41" s="47"/>
      <c r="G41" s="47"/>
      <c r="H41" s="47"/>
      <c r="I41" s="47"/>
    </row>
    <row r="42" spans="1:9" x14ac:dyDescent="0.3">
      <c r="B42" s="47"/>
      <c r="C42" s="47"/>
      <c r="D42" s="47"/>
      <c r="E42" s="47"/>
      <c r="F42" s="47"/>
      <c r="G42" s="47"/>
      <c r="H42" s="47"/>
      <c r="I42" s="47"/>
    </row>
    <row r="43" spans="1:9" x14ac:dyDescent="0.3">
      <c r="B43" s="47"/>
      <c r="C43" s="47"/>
      <c r="D43" s="47"/>
      <c r="E43" s="47"/>
      <c r="F43" s="47"/>
      <c r="G43" s="47"/>
      <c r="H43" s="47"/>
      <c r="I43" s="47"/>
    </row>
    <row r="44" spans="1:9" x14ac:dyDescent="0.3">
      <c r="B44" s="47"/>
      <c r="C44" s="47"/>
      <c r="D44" s="47"/>
      <c r="E44" s="47"/>
      <c r="F44" s="47"/>
      <c r="G44" s="47"/>
      <c r="H44" s="47"/>
      <c r="I44" s="47"/>
    </row>
  </sheetData>
  <mergeCells count="13">
    <mergeCell ref="B28:I28"/>
    <mergeCell ref="B13:I15"/>
    <mergeCell ref="B39:I44"/>
    <mergeCell ref="B38:I38"/>
    <mergeCell ref="C9:D9"/>
    <mergeCell ref="C10:D10"/>
    <mergeCell ref="B2:K2"/>
    <mergeCell ref="B12:I12"/>
    <mergeCell ref="B17:I17"/>
    <mergeCell ref="H20:H24"/>
    <mergeCell ref="C5:I5"/>
    <mergeCell ref="C3:I3"/>
    <mergeCell ref="C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ACF5-C05D-4510-AA94-B01BF0206C06}">
  <dimension ref="A1"/>
  <sheetViews>
    <sheetView topLeftCell="A16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oyedemi</dc:creator>
  <cp:lastModifiedBy>joshua oyedemi</cp:lastModifiedBy>
  <dcterms:created xsi:type="dcterms:W3CDTF">2025-03-03T18:47:43Z</dcterms:created>
  <dcterms:modified xsi:type="dcterms:W3CDTF">2025-03-09T21:16:54Z</dcterms:modified>
</cp:coreProperties>
</file>