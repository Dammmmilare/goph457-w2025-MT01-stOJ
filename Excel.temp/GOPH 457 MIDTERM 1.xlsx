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https://d.docs.live.net/bddd1913fb6f10a7/Documents/SCHOOL/GOPH 457 L01 - (Winter 2025) - Physical Properties of Minerals^J Soils and Rock - 2132025 - 835 AM/"/>
    </mc:Choice>
  </mc:AlternateContent>
  <xr:revisionPtr revIDLastSave="1223" documentId="8_{A6E124A9-3F37-4D6B-94E3-22EA175D76B8}" xr6:coauthVersionLast="47" xr6:coauthVersionMax="47" xr10:uidLastSave="{35C5B5A7-FEBD-4739-B270-02A9C0808F0E}"/>
  <bookViews>
    <workbookView xWindow="-108" yWindow="-108" windowWidth="23256" windowHeight="13176" activeTab="2" xr2:uid="{324697F0-F716-4973-9DEE-7915F077F450}"/>
  </bookViews>
  <sheets>
    <sheet name="Q1" sheetId="1" r:id="rId1"/>
    <sheet name="Q2" sheetId="2" r:id="rId2"/>
    <sheet name="Q3"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8" i="3" l="1"/>
  <c r="E70" i="3"/>
  <c r="E68" i="3"/>
  <c r="E67" i="3"/>
  <c r="H26" i="2"/>
  <c r="H21" i="2"/>
  <c r="D52" i="3"/>
  <c r="F44" i="3"/>
  <c r="F48" i="3"/>
  <c r="F40" i="3"/>
  <c r="E30" i="3"/>
  <c r="E25" i="3"/>
  <c r="D26" i="3"/>
  <c r="D25" i="3"/>
  <c r="F18" i="3"/>
  <c r="E19" i="3"/>
  <c r="E14" i="3"/>
  <c r="D34" i="2"/>
  <c r="D35" i="2" s="1"/>
  <c r="D33" i="2"/>
  <c r="D32" i="2"/>
  <c r="F22" i="2"/>
  <c r="F23" i="2"/>
  <c r="L16" i="1"/>
  <c r="L17" i="1"/>
  <c r="M17" i="1"/>
  <c r="D22" i="2"/>
  <c r="D23" i="2"/>
  <c r="D24" i="2"/>
  <c r="F24" i="2" s="1"/>
  <c r="G24" i="2" s="1"/>
  <c r="D21" i="2"/>
  <c r="F21" i="2" s="1"/>
  <c r="E32" i="1"/>
  <c r="F31" i="1" s="1"/>
  <c r="F26" i="1"/>
  <c r="G12" i="1"/>
  <c r="G13" i="1"/>
  <c r="L13" i="1" s="1"/>
  <c r="I17" i="1"/>
  <c r="M16" i="1" s="1"/>
  <c r="P17" i="1"/>
  <c r="E31" i="1"/>
  <c r="G25" i="1"/>
  <c r="M26" i="1" s="1"/>
  <c r="E29" i="1"/>
  <c r="E28" i="1"/>
  <c r="F28" i="1" s="1"/>
  <c r="L29" i="1" s="1"/>
  <c r="D13" i="1"/>
  <c r="J25" i="1" l="1"/>
  <c r="D36" i="1"/>
  <c r="I28" i="1"/>
  <c r="G22" i="2"/>
  <c r="G23" i="2"/>
  <c r="G21" i="2"/>
  <c r="I31" i="1"/>
  <c r="L31" i="1" s="1"/>
  <c r="D37" i="1"/>
  <c r="D38" i="1" s="1"/>
  <c r="D45" i="1"/>
  <c r="L28" i="1"/>
  <c r="M28" i="1" s="1"/>
  <c r="M25" i="1"/>
  <c r="N25" i="1" s="1"/>
  <c r="H12" i="1"/>
  <c r="H13" i="1"/>
  <c r="G25" i="2" l="1"/>
  <c r="J36" i="1"/>
  <c r="D46" i="1"/>
  <c r="D47" i="1" s="1"/>
  <c r="J37" i="1"/>
  <c r="J38" i="1" l="1"/>
</calcChain>
</file>

<file path=xl/sharedStrings.xml><?xml version="1.0" encoding="utf-8"?>
<sst xmlns="http://schemas.openxmlformats.org/spreadsheetml/2006/main" count="240" uniqueCount="164">
  <si>
    <t>r = 2.58 ± 0.05 cm</t>
  </si>
  <si>
    <t>d = 5.16 ±0.05 cm</t>
  </si>
  <si>
    <t>h = 9.87 ± 0.05 cm</t>
  </si>
  <si>
    <t>Q1</t>
  </si>
  <si>
    <t>M submerged</t>
  </si>
  <si>
    <t>Wet M Unsubmerged</t>
  </si>
  <si>
    <t>537.3 ± 0.2 g</t>
  </si>
  <si>
    <t>Dry Mass</t>
  </si>
  <si>
    <t>530.9 ± 0.2 g</t>
  </si>
  <si>
    <t>Volume</t>
  </si>
  <si>
    <t>pi*(d/2)^2*h</t>
  </si>
  <si>
    <t>cm3</t>
  </si>
  <si>
    <t>a.</t>
  </si>
  <si>
    <t>Abs Error</t>
  </si>
  <si>
    <t>Rel Error</t>
  </si>
  <si>
    <t>MEE</t>
  </si>
  <si>
    <t>MPE</t>
  </si>
  <si>
    <t>V</t>
  </si>
  <si>
    <t xml:space="preserve">V = </t>
  </si>
  <si>
    <t>Mwet</t>
  </si>
  <si>
    <t>water density</t>
  </si>
  <si>
    <t>-</t>
  </si>
  <si>
    <t>ΔV</t>
  </si>
  <si>
    <t>Uncertainty</t>
  </si>
  <si>
    <t>=</t>
  </si>
  <si>
    <t>ΔV / V</t>
  </si>
  <si>
    <t>b.</t>
  </si>
  <si>
    <t>Gs</t>
  </si>
  <si>
    <t>m dry</t>
  </si>
  <si>
    <t>m dry - m submerged</t>
  </si>
  <si>
    <t>Pd</t>
  </si>
  <si>
    <t>M wet -M dry</t>
  </si>
  <si>
    <t>M dry</t>
  </si>
  <si>
    <t>ΔGs/Gs</t>
  </si>
  <si>
    <t>ΔGs</t>
  </si>
  <si>
    <t>W</t>
  </si>
  <si>
    <t>ΔW</t>
  </si>
  <si>
    <t>ΔW/W</t>
  </si>
  <si>
    <t>Δpd/pd</t>
  </si>
  <si>
    <t>Δpd</t>
  </si>
  <si>
    <t>c.</t>
  </si>
  <si>
    <t>n</t>
  </si>
  <si>
    <t>pg</t>
  </si>
  <si>
    <t>1 g/cm3</t>
  </si>
  <si>
    <t>e</t>
  </si>
  <si>
    <t>1 + e</t>
  </si>
  <si>
    <t>d.</t>
  </si>
  <si>
    <t>Sr</t>
  </si>
  <si>
    <t>w *GS</t>
  </si>
  <si>
    <t>Sr = 1</t>
  </si>
  <si>
    <t>Q2</t>
  </si>
  <si>
    <t>eSr = wGs</t>
  </si>
  <si>
    <t>i.</t>
  </si>
  <si>
    <t>Constant head of Air at 15 deg</t>
  </si>
  <si>
    <t>kg/m^3</t>
  </si>
  <si>
    <t>Pa.s</t>
  </si>
  <si>
    <t>ii.</t>
  </si>
  <si>
    <t>Falling head on a sample saturated with water at 15 deg</t>
  </si>
  <si>
    <t>Dimensions</t>
  </si>
  <si>
    <t>diameter</t>
  </si>
  <si>
    <t>height</t>
  </si>
  <si>
    <t>cm</t>
  </si>
  <si>
    <t>Measuring permeability (K) using constant and falling head</t>
  </si>
  <si>
    <t>Defining hydraulic conductivity and permeability</t>
  </si>
  <si>
    <t>g</t>
  </si>
  <si>
    <t>m/s^2</t>
  </si>
  <si>
    <t>332.1 ± 0.2 g</t>
  </si>
  <si>
    <t>Air pressure (Kpa)</t>
  </si>
  <si>
    <t>Air pressure (Pa)</t>
  </si>
  <si>
    <t>1kpa = 1000pa</t>
  </si>
  <si>
    <t>Flow rate (cm3/s)</t>
  </si>
  <si>
    <t>206.48 ± 4</t>
  </si>
  <si>
    <t>Assumptions on e,w, and Gs in their general formula  make it hard to get or calculate an exact value except for 1 for Sr as the values of Sr make it hard for.</t>
  </si>
  <si>
    <t>delta H</t>
  </si>
  <si>
    <t>Mean</t>
  </si>
  <si>
    <t>Uw (mu water)</t>
  </si>
  <si>
    <t>Ua (mu air)</t>
  </si>
  <si>
    <t>Pa (roh air)</t>
  </si>
  <si>
    <t>Falling head calculation</t>
  </si>
  <si>
    <t>Hi (cm)</t>
  </si>
  <si>
    <t>Hf (cm)</t>
  </si>
  <si>
    <t xml:space="preserve">Water Volume </t>
  </si>
  <si>
    <t>Time (s)</t>
  </si>
  <si>
    <t>Hi / Hf</t>
  </si>
  <si>
    <t>205.2 ± 0.3</t>
  </si>
  <si>
    <t>K (air) cm/s</t>
  </si>
  <si>
    <t>k (permeability) (m^2)</t>
  </si>
  <si>
    <t>K (water) cm/s</t>
  </si>
  <si>
    <t>K(permreability) (m^2)</t>
  </si>
  <si>
    <t>Approximately</t>
  </si>
  <si>
    <t>Constant head calculation</t>
  </si>
  <si>
    <t>Msub</t>
  </si>
  <si>
    <t>Q3.</t>
  </si>
  <si>
    <t>Hydraulic conductivity measues how easily fluids flow through a porous material within a hydraulic gradient. Permeability is a material property that describes the ability of fluids to move through materials, independent of the fluid type. Hydraulic conductivity is measured in m/s and permeability is measured in m^2 . Hy draulic conductivity depends on the fluid properties meanwhile permeability depends on the intrinsic property of the material the fluids are flowing through.</t>
  </si>
  <si>
    <t>Comparing the results from b and c to see if they agree within experimantal error.</t>
  </si>
  <si>
    <t xml:space="preserve">While calculating the value of constant head in part b we obtained </t>
  </si>
  <si>
    <t>(i) Volume Calculation: Geometric Method</t>
  </si>
  <si>
    <t>(ii) Volume Calculation: Archimedes Method</t>
  </si>
  <si>
    <t>The method that involved volume calculation by specimen dimensions produced a higher relative error at (0.02) .Yes the volume estimates agree with the experimental error. The relative error obtained from implementing the Archimedes method was overall more reliable in estimating our volumes because the value obtained showed a lower relative error based on error estimates.</t>
  </si>
  <si>
    <t>Silt sand</t>
  </si>
  <si>
    <t>Lacustrine Clay</t>
  </si>
  <si>
    <t>Well-graded gravel</t>
  </si>
  <si>
    <t>Thickness (m)</t>
  </si>
  <si>
    <t>K (m/s)</t>
  </si>
  <si>
    <t xml:space="preserve">a. </t>
  </si>
  <si>
    <t>Hydraulic Gradient Calculation</t>
  </si>
  <si>
    <t>Layers</t>
  </si>
  <si>
    <t>Excavation Depth</t>
  </si>
  <si>
    <t>SPDBE</t>
  </si>
  <si>
    <t>Natural water Tbl</t>
  </si>
  <si>
    <t>below surface</t>
  </si>
  <si>
    <t>Flow Direction</t>
  </si>
  <si>
    <t>Vertical downwards towards excavation.</t>
  </si>
  <si>
    <t xml:space="preserve">Computing Total Flow Distance </t>
  </si>
  <si>
    <t>L1 + L2 + L3</t>
  </si>
  <si>
    <t>L total - L2 -L1</t>
  </si>
  <si>
    <t>L3 (m)</t>
  </si>
  <si>
    <t>i</t>
  </si>
  <si>
    <t>Delta h</t>
  </si>
  <si>
    <t>L total</t>
  </si>
  <si>
    <t>Calculating Effective Hydraulic Conductivity</t>
  </si>
  <si>
    <t>K eff</t>
  </si>
  <si>
    <t>Ltotal</t>
  </si>
  <si>
    <t>Sum(Li/Ki)</t>
  </si>
  <si>
    <t>m/s</t>
  </si>
  <si>
    <t>Average Hydraulic Gradient</t>
  </si>
  <si>
    <t>Calculating speific discharge, hydraulic gradient, and head loss.</t>
  </si>
  <si>
    <t>Specific Discharge</t>
  </si>
  <si>
    <t>q</t>
  </si>
  <si>
    <t>Keff * i</t>
  </si>
  <si>
    <t>Computing Hydraulic Gradient</t>
  </si>
  <si>
    <t>q * (Li/Ki)</t>
  </si>
  <si>
    <t>Pw (roh water)</t>
  </si>
  <si>
    <t>Delta h(i)</t>
  </si>
  <si>
    <t>L (i)</t>
  </si>
  <si>
    <t>i(i)</t>
  </si>
  <si>
    <t>head diff(i)</t>
  </si>
  <si>
    <t>head diff(Ss)</t>
  </si>
  <si>
    <t>q * (L(Ss)/K(Ss))</t>
  </si>
  <si>
    <t>Silt sand (Ss)</t>
  </si>
  <si>
    <t>Silt sand (Lc)</t>
  </si>
  <si>
    <t>head diff(Lc)</t>
  </si>
  <si>
    <t>q * (L(Lc)/K(Lc))</t>
  </si>
  <si>
    <t>Calculating total head loss</t>
  </si>
  <si>
    <t>delta h Ss</t>
  </si>
  <si>
    <t>SUM</t>
  </si>
  <si>
    <t>delta h Lc</t>
  </si>
  <si>
    <t>Silt sand (Lgg)</t>
  </si>
  <si>
    <t>head diff(Lgg)</t>
  </si>
  <si>
    <t>q * (L(Lgg)/K(Lgg))</t>
  </si>
  <si>
    <t>delta h Lgg</t>
  </si>
  <si>
    <t>Total (m)</t>
  </si>
  <si>
    <t>Specific Discharge Calculations</t>
  </si>
  <si>
    <t>head difference</t>
  </si>
  <si>
    <t>q * Area</t>
  </si>
  <si>
    <t>Width</t>
  </si>
  <si>
    <t>Length</t>
  </si>
  <si>
    <t>Dimensions (m)</t>
  </si>
  <si>
    <t>Width *Length</t>
  </si>
  <si>
    <t>Area (m2)</t>
  </si>
  <si>
    <t>Flow rate (Q) (m3/s)</t>
  </si>
  <si>
    <t>Convert to L/hr</t>
  </si>
  <si>
    <t>Q * 3600</t>
  </si>
  <si>
    <t>Flow rate (Q) (L/hr)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</si>
</sst>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0"/>
    <numFmt numFmtId="166" formatCode="0.0"/>
  </numFmts>
  <fonts count="10" x14ac:knownFonts="1">
    <font>
      <sz val="11"/>
      <color theme="1"/>
      <name val="Aptos Narrow"/>
      <family val="2"/>
      <scheme val="minor"/>
    </font>
    <font>
      <sz val="8"/>
      <name val="Aptos Narrow"/>
      <family val="2"/>
      <scheme val="minor"/>
    </font>
    <font>
      <sz val="11"/>
      <color theme="1"/>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theme="0"/>
      <name val="Aptos Narrow"/>
      <family val="2"/>
      <scheme val="minor"/>
    </font>
  </fonts>
  <fills count="14">
    <fill>
      <patternFill patternType="none"/>
    </fill>
    <fill>
      <patternFill patternType="gray125"/>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FFFFCC"/>
      </patternFill>
    </fill>
    <fill>
      <patternFill patternType="solid">
        <fgColor theme="6"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9"/>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bottom/>
      <diagonal/>
    </border>
    <border>
      <left style="thin">
        <color rgb="FF3F3F3F"/>
      </left>
      <right style="thin">
        <color rgb="FF3F3F3F"/>
      </right>
      <top style="thin">
        <color rgb="FF3F3F3F"/>
      </top>
      <bottom/>
      <diagonal/>
    </border>
    <border>
      <left style="thin">
        <color rgb="FF3F3F3F"/>
      </left>
      <right/>
      <top/>
      <bottom style="thin">
        <color rgb="FF3F3F3F"/>
      </bottom>
      <diagonal/>
    </border>
    <border>
      <left style="thin">
        <color rgb="FF3F3F3F"/>
      </left>
      <right/>
      <top style="thin">
        <color rgb="FF3F3F3F"/>
      </top>
      <bottom style="thin">
        <color rgb="FF3F3F3F"/>
      </bottom>
      <diagonal/>
    </border>
  </borders>
  <cellStyleXfs count="12">
    <xf numFmtId="0" fontId="0" fillId="0" borderId="0"/>
    <xf numFmtId="0" fontId="3" fillId="3" borderId="0" applyNumberFormat="0" applyBorder="0" applyAlignment="0" applyProtection="0"/>
    <xf numFmtId="0" fontId="4" fillId="4" borderId="0" applyNumberFormat="0" applyBorder="0" applyAlignment="0" applyProtection="0"/>
    <xf numFmtId="0" fontId="5" fillId="5" borderId="0" applyNumberFormat="0" applyBorder="0" applyAlignment="0" applyProtection="0"/>
    <xf numFmtId="0" fontId="6" fillId="6" borderId="7" applyNumberFormat="0" applyAlignment="0" applyProtection="0"/>
    <xf numFmtId="0" fontId="7" fillId="7" borderId="8" applyNumberFormat="0" applyAlignment="0" applyProtection="0"/>
    <xf numFmtId="0" fontId="2" fillId="8" borderId="9" applyNumberFormat="0" applyFont="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9" fillId="13" borderId="0" applyNumberFormat="0" applyBorder="0" applyAlignment="0" applyProtection="0"/>
  </cellStyleXfs>
  <cellXfs count="74">
    <xf numFmtId="0" fontId="0" fillId="0" borderId="0" xfId="0"/>
    <xf numFmtId="0" fontId="0" fillId="0" borderId="1" xfId="0"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0" borderId="6" xfId="0" applyBorder="1" applyAlignment="1">
      <alignment horizontal="center" vertical="center"/>
    </xf>
    <xf numFmtId="0" fontId="0" fillId="0" borderId="4" xfId="0" applyBorder="1" applyAlignment="1">
      <alignment horizontal="center" vertical="center"/>
    </xf>
    <xf numFmtId="0" fontId="3" fillId="3" borderId="1" xfId="1" applyBorder="1" applyAlignment="1">
      <alignment horizontal="center" vertical="center"/>
    </xf>
    <xf numFmtId="0" fontId="6" fillId="6" borderId="7" xfId="4" applyAlignment="1">
      <alignment horizontal="center" vertical="center"/>
    </xf>
    <xf numFmtId="0" fontId="4" fillId="4" borderId="1" xfId="2" applyBorder="1" applyAlignment="1">
      <alignment horizontal="center" vertical="center"/>
    </xf>
    <xf numFmtId="0" fontId="0" fillId="8" borderId="1" xfId="6" applyFont="1" applyBorder="1" applyAlignment="1">
      <alignment horizontal="center" vertical="center"/>
    </xf>
    <xf numFmtId="0" fontId="5" fillId="5" borderId="1" xfId="3" applyBorder="1" applyAlignment="1">
      <alignment horizontal="center" vertical="center"/>
    </xf>
    <xf numFmtId="0" fontId="0" fillId="2" borderId="1" xfId="0" applyFill="1" applyBorder="1" applyAlignment="1">
      <alignment horizontal="center" vertical="center"/>
    </xf>
    <xf numFmtId="0" fontId="6" fillId="6" borderId="1" xfId="4" applyBorder="1" applyAlignment="1">
      <alignment horizontal="center" vertical="center"/>
    </xf>
    <xf numFmtId="11" fontId="6" fillId="6" borderId="1" xfId="4" applyNumberFormat="1" applyBorder="1" applyAlignment="1">
      <alignment horizontal="center" vertical="center"/>
    </xf>
    <xf numFmtId="165" fontId="0" fillId="0" borderId="1" xfId="0" applyNumberFormat="1" applyBorder="1" applyAlignment="1">
      <alignment horizontal="center" vertical="center"/>
    </xf>
    <xf numFmtId="165" fontId="3" fillId="3" borderId="1" xfId="1" applyNumberFormat="1" applyBorder="1" applyAlignment="1">
      <alignment horizontal="center" vertical="center"/>
    </xf>
    <xf numFmtId="2" fontId="3" fillId="3" borderId="1" xfId="1" applyNumberFormat="1" applyBorder="1" applyAlignment="1">
      <alignment horizontal="center" vertical="center"/>
    </xf>
    <xf numFmtId="166" fontId="3" fillId="3" borderId="1" xfId="1" applyNumberFormat="1" applyBorder="1" applyAlignment="1">
      <alignment horizontal="center" vertical="center"/>
    </xf>
    <xf numFmtId="1" fontId="3" fillId="3" borderId="1" xfId="1" applyNumberFormat="1" applyBorder="1" applyAlignment="1">
      <alignment horizontal="center" vertical="center"/>
    </xf>
    <xf numFmtId="0" fontId="7" fillId="7" borderId="8" xfId="5" applyAlignment="1">
      <alignment horizontal="center" vertical="center"/>
    </xf>
    <xf numFmtId="0" fontId="7" fillId="7" borderId="1" xfId="5" applyBorder="1" applyAlignment="1">
      <alignment horizontal="center" vertical="center"/>
    </xf>
    <xf numFmtId="11" fontId="0" fillId="8" borderId="1" xfId="6" applyNumberFormat="1" applyFont="1" applyBorder="1" applyAlignment="1">
      <alignment horizontal="center" vertical="center"/>
    </xf>
    <xf numFmtId="11" fontId="3" fillId="3" borderId="1" xfId="1" applyNumberFormat="1" applyBorder="1" applyAlignment="1">
      <alignment horizontal="center" vertical="center" wrapText="1"/>
    </xf>
    <xf numFmtId="11" fontId="3" fillId="3" borderId="1" xfId="1" applyNumberFormat="1" applyBorder="1" applyAlignment="1">
      <alignment horizontal="center" vertical="center"/>
    </xf>
    <xf numFmtId="0" fontId="0" fillId="0" borderId="1" xfId="0" applyBorder="1" applyAlignment="1">
      <alignment horizontal="center" vertical="center" wrapText="1"/>
    </xf>
    <xf numFmtId="11" fontId="5" fillId="5" borderId="1" xfId="3" applyNumberFormat="1" applyBorder="1" applyAlignment="1">
      <alignment horizontal="center" vertical="center"/>
    </xf>
    <xf numFmtId="0" fontId="6" fillId="6" borderId="4" xfId="4" applyBorder="1" applyAlignment="1">
      <alignment horizontal="center" vertical="center"/>
    </xf>
    <xf numFmtId="0" fontId="7" fillId="7" borderId="11" xfId="5" applyBorder="1" applyAlignment="1">
      <alignment horizontal="center" vertical="center"/>
    </xf>
    <xf numFmtId="0" fontId="0" fillId="0" borderId="1" xfId="0" applyBorder="1"/>
    <xf numFmtId="0" fontId="2" fillId="11" borderId="8" xfId="9" applyBorder="1" applyAlignment="1">
      <alignment horizontal="center" vertical="center"/>
    </xf>
    <xf numFmtId="0" fontId="2" fillId="11" borderId="11" xfId="9" applyBorder="1" applyAlignment="1">
      <alignment horizontal="center" vertical="center"/>
    </xf>
    <xf numFmtId="0" fontId="7" fillId="7" borderId="12" xfId="5" applyBorder="1" applyAlignment="1">
      <alignment horizontal="center" vertical="center"/>
    </xf>
    <xf numFmtId="0" fontId="7" fillId="7" borderId="13" xfId="5" applyBorder="1" applyAlignment="1">
      <alignment horizontal="center" vertical="center"/>
    </xf>
    <xf numFmtId="0" fontId="8" fillId="8" borderId="1" xfId="6" applyFont="1" applyBorder="1" applyAlignment="1">
      <alignment horizontal="center" vertical="center"/>
    </xf>
    <xf numFmtId="0" fontId="0" fillId="0" borderId="2" xfId="0" applyBorder="1"/>
    <xf numFmtId="11" fontId="0" fillId="0" borderId="1" xfId="0" applyNumberFormat="1" applyBorder="1" applyAlignment="1">
      <alignment horizontal="center" vertical="center"/>
    </xf>
    <xf numFmtId="0" fontId="3" fillId="3" borderId="1" xfId="1" applyBorder="1" applyAlignment="1">
      <alignment horizontal="center" vertical="center" wrapText="1"/>
    </xf>
    <xf numFmtId="0" fontId="0" fillId="0" borderId="6" xfId="0" applyBorder="1" applyAlignment="1">
      <alignment horizontal="center" vertical="center"/>
    </xf>
    <xf numFmtId="0" fontId="0" fillId="0" borderId="4" xfId="0" applyBorder="1" applyAlignment="1">
      <alignment horizontal="center" vertical="center"/>
    </xf>
    <xf numFmtId="164" fontId="3" fillId="3" borderId="6" xfId="1" applyNumberFormat="1" applyBorder="1" applyAlignment="1">
      <alignment horizontal="center" vertical="center"/>
    </xf>
    <xf numFmtId="164" fontId="3" fillId="3" borderId="4" xfId="1" applyNumberFormat="1" applyBorder="1" applyAlignment="1">
      <alignment horizontal="center" vertical="center"/>
    </xf>
    <xf numFmtId="165" fontId="3" fillId="3" borderId="6" xfId="1" applyNumberFormat="1" applyBorder="1" applyAlignment="1">
      <alignment horizontal="center" vertical="center"/>
    </xf>
    <xf numFmtId="165" fontId="3" fillId="3" borderId="4" xfId="1" applyNumberFormat="1" applyBorder="1" applyAlignment="1">
      <alignment horizontal="center" vertical="center"/>
    </xf>
    <xf numFmtId="0" fontId="3" fillId="3" borderId="6" xfId="1" applyBorder="1" applyAlignment="1">
      <alignment horizontal="center" vertical="center"/>
    </xf>
    <xf numFmtId="0" fontId="3" fillId="3" borderId="4" xfId="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3" fillId="3" borderId="2" xfId="1" applyBorder="1" applyAlignment="1">
      <alignment horizontal="center" vertical="center"/>
    </xf>
    <xf numFmtId="0" fontId="3" fillId="3" borderId="3" xfId="1" applyBorder="1" applyAlignment="1">
      <alignment horizontal="center" vertical="center"/>
    </xf>
    <xf numFmtId="0" fontId="0" fillId="2" borderId="2" xfId="0" applyFill="1" applyBorder="1" applyAlignment="1">
      <alignment horizontal="center" vertical="center"/>
    </xf>
    <xf numFmtId="0" fontId="0" fillId="2" borderId="3" xfId="0" applyFill="1" applyBorder="1" applyAlignment="1">
      <alignment horizontal="center" vertical="center"/>
    </xf>
    <xf numFmtId="2" fontId="0" fillId="0" borderId="2" xfId="0" applyNumberFormat="1" applyBorder="1" applyAlignment="1">
      <alignment horizontal="center" vertical="center"/>
    </xf>
    <xf numFmtId="2" fontId="0" fillId="0" borderId="3" xfId="0" applyNumberFormat="1" applyBorder="1" applyAlignment="1">
      <alignment horizontal="center" vertical="center"/>
    </xf>
    <xf numFmtId="0" fontId="0" fillId="2" borderId="5" xfId="0" applyFill="1" applyBorder="1" applyAlignment="1">
      <alignment horizontal="center" vertical="center"/>
    </xf>
    <xf numFmtId="0" fontId="0" fillId="8" borderId="1" xfId="6" applyFont="1" applyBorder="1" applyAlignment="1">
      <alignment horizontal="center" vertical="center" wrapText="1"/>
    </xf>
    <xf numFmtId="0" fontId="6" fillId="6" borderId="7" xfId="4" applyAlignment="1">
      <alignment horizontal="center" vertical="center"/>
    </xf>
    <xf numFmtId="0" fontId="0" fillId="8" borderId="1" xfId="6" applyFont="1" applyBorder="1" applyAlignment="1">
      <alignment horizontal="center" vertical="center"/>
    </xf>
    <xf numFmtId="0" fontId="0" fillId="0" borderId="1" xfId="0" applyBorder="1" applyAlignment="1">
      <alignment horizontal="center" vertical="center"/>
    </xf>
    <xf numFmtId="0" fontId="0" fillId="10" borderId="3" xfId="8" applyFont="1" applyBorder="1" applyAlignment="1">
      <alignment horizontal="center" vertical="center" wrapText="1"/>
    </xf>
    <xf numFmtId="0" fontId="2" fillId="10" borderId="1" xfId="8" applyBorder="1" applyAlignment="1">
      <alignment horizontal="center" vertical="center" wrapText="1"/>
    </xf>
    <xf numFmtId="0" fontId="6" fillId="6" borderId="1" xfId="4" applyBorder="1" applyAlignment="1">
      <alignment horizontal="center" vertical="center"/>
    </xf>
    <xf numFmtId="0" fontId="6" fillId="6" borderId="4" xfId="4" applyBorder="1" applyAlignment="1">
      <alignment horizontal="center" vertical="center"/>
    </xf>
    <xf numFmtId="0" fontId="0" fillId="0" borderId="1" xfId="0" applyBorder="1" applyAlignment="1">
      <alignment horizontal="center" vertical="center" wrapText="1"/>
    </xf>
    <xf numFmtId="0" fontId="2" fillId="12" borderId="2" xfId="10" applyBorder="1" applyAlignment="1">
      <alignment horizontal="center" wrapText="1"/>
    </xf>
    <xf numFmtId="0" fontId="2" fillId="12" borderId="5" xfId="10" applyBorder="1" applyAlignment="1">
      <alignment horizontal="center" wrapText="1"/>
    </xf>
    <xf numFmtId="0" fontId="2" fillId="12" borderId="3" xfId="10" applyBorder="1" applyAlignment="1">
      <alignment horizontal="center" wrapText="1"/>
    </xf>
    <xf numFmtId="0" fontId="2" fillId="9" borderId="1" xfId="7" applyBorder="1" applyAlignment="1">
      <alignment horizontal="center" vertical="center" wrapText="1"/>
    </xf>
    <xf numFmtId="11" fontId="3" fillId="3" borderId="6" xfId="1" applyNumberFormat="1" applyBorder="1" applyAlignment="1">
      <alignment horizontal="center" vertical="center" wrapText="1"/>
    </xf>
    <xf numFmtId="11" fontId="3" fillId="3" borderId="10" xfId="1" applyNumberFormat="1" applyBorder="1" applyAlignment="1">
      <alignment horizontal="center" vertical="center" wrapText="1"/>
    </xf>
    <xf numFmtId="11" fontId="3" fillId="3" borderId="4" xfId="1" applyNumberFormat="1" applyBorder="1" applyAlignment="1">
      <alignment horizontal="center" vertical="center" wrapText="1"/>
    </xf>
    <xf numFmtId="11" fontId="3" fillId="3" borderId="1" xfId="1" applyNumberFormat="1" applyBorder="1" applyAlignment="1">
      <alignment horizontal="center" vertical="center" wrapText="1"/>
    </xf>
    <xf numFmtId="0" fontId="9" fillId="13" borderId="1" xfId="11" applyBorder="1" applyAlignment="1">
      <alignment horizontal="center" vertical="center" wrapText="1"/>
    </xf>
    <xf numFmtId="0" fontId="0" fillId="0" borderId="1" xfId="0" applyBorder="1" applyAlignment="1">
      <alignment horizontal="center" wrapText="1"/>
    </xf>
    <xf numFmtId="0" fontId="0" fillId="0" borderId="1" xfId="0" applyBorder="1" applyAlignment="1">
      <alignment horizontal="center"/>
    </xf>
  </cellXfs>
  <cellStyles count="12">
    <cellStyle name="20% - Accent3" xfId="7" builtinId="38"/>
    <cellStyle name="20% - Accent6" xfId="8" builtinId="50"/>
    <cellStyle name="40% - Accent1" xfId="9" builtinId="31"/>
    <cellStyle name="40% - Accent2" xfId="10" builtinId="35"/>
    <cellStyle name="Accent6" xfId="11" builtinId="49"/>
    <cellStyle name="Bad" xfId="2" builtinId="27"/>
    <cellStyle name="Good" xfId="1" builtinId="26"/>
    <cellStyle name="Input" xfId="4" builtinId="20"/>
    <cellStyle name="Neutral" xfId="3" builtinId="28"/>
    <cellStyle name="Normal" xfId="0" builtinId="0"/>
    <cellStyle name="Note" xfId="6" builtinId="10"/>
    <cellStyle name="Output" xfId="5" builtinId="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E8459-EBEC-41FB-B17C-451A91D2DEB3}">
  <dimension ref="A2:R47"/>
  <sheetViews>
    <sheetView zoomScale="80" zoomScaleNormal="80" workbookViewId="0">
      <selection activeCell="F50" sqref="F50"/>
    </sheetView>
  </sheetViews>
  <sheetFormatPr defaultRowHeight="14.4" x14ac:dyDescent="0.3"/>
  <cols>
    <col min="1" max="2" width="8.88671875" style="2"/>
    <col min="3" max="3" width="12.6640625" style="2" bestFit="1" customWidth="1"/>
    <col min="4" max="4" width="17.77734375" style="2" customWidth="1"/>
    <col min="5" max="5" width="7.44140625" style="2" customWidth="1"/>
    <col min="6" max="6" width="12.77734375" style="2" customWidth="1"/>
    <col min="7" max="7" width="9.77734375" style="2" customWidth="1"/>
    <col min="8" max="8" width="8.88671875" style="2"/>
    <col min="9" max="9" width="9.5546875" style="2" customWidth="1"/>
    <col min="10" max="10" width="8.88671875" style="2"/>
    <col min="11" max="11" width="11.6640625" style="2" customWidth="1"/>
    <col min="12" max="12" width="11.33203125" style="2" customWidth="1"/>
    <col min="13" max="13" width="12.5546875" style="2" customWidth="1"/>
    <col min="14" max="16384" width="8.88671875" style="2"/>
  </cols>
  <sheetData>
    <row r="2" spans="1:18" x14ac:dyDescent="0.3">
      <c r="A2" s="1" t="s">
        <v>3</v>
      </c>
      <c r="B2" s="55" t="s">
        <v>2</v>
      </c>
      <c r="C2" s="55"/>
      <c r="D2" s="55"/>
      <c r="E2" s="55"/>
      <c r="F2" s="55"/>
      <c r="H2" s="55" t="s">
        <v>4</v>
      </c>
      <c r="I2" s="55"/>
      <c r="J2" s="55" t="s">
        <v>66</v>
      </c>
      <c r="K2" s="55"/>
      <c r="L2" s="55"/>
    </row>
    <row r="3" spans="1:18" x14ac:dyDescent="0.3">
      <c r="B3" s="55" t="s">
        <v>1</v>
      </c>
      <c r="C3" s="55"/>
      <c r="D3" s="55"/>
      <c r="E3" s="55"/>
      <c r="F3" s="55"/>
      <c r="H3" s="55" t="s">
        <v>5</v>
      </c>
      <c r="I3" s="55"/>
      <c r="J3" s="55" t="s">
        <v>6</v>
      </c>
      <c r="K3" s="55"/>
      <c r="L3" s="55"/>
    </row>
    <row r="4" spans="1:18" x14ac:dyDescent="0.3">
      <c r="B4" s="55" t="s">
        <v>0</v>
      </c>
      <c r="C4" s="55"/>
      <c r="D4" s="55"/>
      <c r="E4" s="55"/>
      <c r="F4" s="55"/>
      <c r="H4" s="55" t="s">
        <v>7</v>
      </c>
      <c r="I4" s="55"/>
      <c r="J4" s="55" t="s">
        <v>8</v>
      </c>
      <c r="K4" s="55"/>
      <c r="L4" s="55"/>
    </row>
    <row r="6" spans="1:18" x14ac:dyDescent="0.3">
      <c r="B6" s="7" t="s">
        <v>42</v>
      </c>
      <c r="C6" s="7" t="s">
        <v>43</v>
      </c>
    </row>
    <row r="11" spans="1:18" x14ac:dyDescent="0.3">
      <c r="A11" s="1" t="s">
        <v>12</v>
      </c>
      <c r="B11" s="49" t="s">
        <v>96</v>
      </c>
      <c r="C11" s="53"/>
      <c r="D11" s="50"/>
      <c r="E11" s="45" t="s">
        <v>13</v>
      </c>
      <c r="F11" s="46"/>
      <c r="G11" s="1" t="s">
        <v>11</v>
      </c>
      <c r="H11" s="57" t="s">
        <v>14</v>
      </c>
      <c r="I11" s="57"/>
    </row>
    <row r="12" spans="1:18" x14ac:dyDescent="0.3">
      <c r="B12" s="45" t="s">
        <v>9</v>
      </c>
      <c r="C12" s="46"/>
      <c r="D12" s="1" t="s">
        <v>11</v>
      </c>
      <c r="E12" s="1" t="s">
        <v>15</v>
      </c>
      <c r="F12" s="1" t="s">
        <v>23</v>
      </c>
      <c r="G12" s="18">
        <f>((2*(0.05/5.16))+(0.05/9.87))*D13</f>
        <v>5.0475857142857148</v>
      </c>
      <c r="H12" s="51">
        <f>G12/$D$13</f>
        <v>2.4445701090926229E-2</v>
      </c>
      <c r="I12" s="52"/>
      <c r="K12" s="1" t="s">
        <v>22</v>
      </c>
      <c r="L12" s="47" t="s">
        <v>71</v>
      </c>
      <c r="M12" s="48"/>
      <c r="N12" s="6" t="s">
        <v>11</v>
      </c>
    </row>
    <row r="13" spans="1:18" x14ac:dyDescent="0.3">
      <c r="B13" s="49" t="s">
        <v>10</v>
      </c>
      <c r="C13" s="50"/>
      <c r="D13" s="18">
        <f>(22/7)*((5.16*5.16)/4)*(9.87)</f>
        <v>206.481528</v>
      </c>
      <c r="E13" s="1" t="s">
        <v>16</v>
      </c>
      <c r="F13" s="1" t="s">
        <v>23</v>
      </c>
      <c r="G13" s="18">
        <f>SQRT(((2*(0.05/5.16))^2)+((0.05/9.87)^2))*D13</f>
        <v>4.1360331781452588</v>
      </c>
      <c r="H13" s="51">
        <f>G13/$D$13</f>
        <v>2.003100818851582E-2</v>
      </c>
      <c r="I13" s="52"/>
      <c r="K13" s="1" t="s">
        <v>25</v>
      </c>
      <c r="L13" s="16">
        <f>G13/D13</f>
        <v>2.003100818851582E-2</v>
      </c>
    </row>
    <row r="15" spans="1:18" x14ac:dyDescent="0.3">
      <c r="B15" s="49" t="s">
        <v>97</v>
      </c>
      <c r="C15" s="53"/>
      <c r="D15" s="50"/>
      <c r="E15" s="1" t="s">
        <v>11</v>
      </c>
      <c r="F15" s="1"/>
      <c r="G15" s="1"/>
      <c r="H15" s="1"/>
      <c r="I15" s="1" t="s">
        <v>17</v>
      </c>
      <c r="J15" s="45" t="s">
        <v>13</v>
      </c>
      <c r="K15" s="46"/>
      <c r="L15" s="1" t="s">
        <v>11</v>
      </c>
      <c r="M15" s="1" t="s">
        <v>14</v>
      </c>
    </row>
    <row r="16" spans="1:18" x14ac:dyDescent="0.3">
      <c r="B16" s="1" t="s">
        <v>18</v>
      </c>
      <c r="C16" s="11" t="s">
        <v>19</v>
      </c>
      <c r="D16" s="11" t="s">
        <v>21</v>
      </c>
      <c r="E16" s="11" t="s">
        <v>91</v>
      </c>
      <c r="F16" s="1">
        <v>537.29999999999995</v>
      </c>
      <c r="G16" s="1" t="s">
        <v>21</v>
      </c>
      <c r="H16" s="1">
        <v>332.1</v>
      </c>
      <c r="I16" s="1" t="s">
        <v>11</v>
      </c>
      <c r="J16" s="1" t="s">
        <v>15</v>
      </c>
      <c r="K16" s="1" t="s">
        <v>23</v>
      </c>
      <c r="L16" s="6">
        <f>(0.2)+(0.2)/1</f>
        <v>0.4</v>
      </c>
      <c r="M16" s="14">
        <f>L16/$I$17</f>
        <v>1.9493177387914238E-3</v>
      </c>
      <c r="O16" s="1" t="s">
        <v>22</v>
      </c>
      <c r="P16" s="47" t="s">
        <v>84</v>
      </c>
      <c r="Q16" s="48"/>
      <c r="R16" s="6" t="s">
        <v>11</v>
      </c>
    </row>
    <row r="17" spans="1:16" x14ac:dyDescent="0.3">
      <c r="B17" s="1"/>
      <c r="C17" s="1"/>
      <c r="D17" s="11" t="s">
        <v>20</v>
      </c>
      <c r="E17" s="1"/>
      <c r="F17" s="1"/>
      <c r="G17" s="1">
        <v>1</v>
      </c>
      <c r="H17" s="1"/>
      <c r="I17" s="6">
        <f>(F16-H16)/1</f>
        <v>205.19999999999993</v>
      </c>
      <c r="J17" s="1" t="s">
        <v>16</v>
      </c>
      <c r="K17" s="1" t="s">
        <v>23</v>
      </c>
      <c r="L17" s="17">
        <f>(SQRT((0.2^2)+(0.2^2)))/1</f>
        <v>0.28284271247461906</v>
      </c>
      <c r="M17" s="14">
        <f>L17/$I$17</f>
        <v>1.378375791786643E-3</v>
      </c>
      <c r="O17" s="1" t="s">
        <v>25</v>
      </c>
      <c r="P17" s="15">
        <f>L17/I17</f>
        <v>1.378375791786643E-3</v>
      </c>
    </row>
    <row r="19" spans="1:16" x14ac:dyDescent="0.3">
      <c r="B19" s="54" t="s">
        <v>98</v>
      </c>
      <c r="C19" s="54"/>
      <c r="D19" s="54"/>
      <c r="E19" s="54"/>
      <c r="F19" s="54"/>
      <c r="G19" s="54"/>
      <c r="H19" s="54"/>
      <c r="I19" s="54"/>
      <c r="J19" s="54"/>
      <c r="K19" s="54"/>
    </row>
    <row r="20" spans="1:16" x14ac:dyDescent="0.3">
      <c r="B20" s="54"/>
      <c r="C20" s="54"/>
      <c r="D20" s="54"/>
      <c r="E20" s="54"/>
      <c r="F20" s="54"/>
      <c r="G20" s="54"/>
      <c r="H20" s="54"/>
      <c r="I20" s="54"/>
      <c r="J20" s="54"/>
      <c r="K20" s="54"/>
    </row>
    <row r="21" spans="1:16" x14ac:dyDescent="0.3">
      <c r="B21" s="54"/>
      <c r="C21" s="54"/>
      <c r="D21" s="54"/>
      <c r="E21" s="54"/>
      <c r="F21" s="54"/>
      <c r="G21" s="54"/>
      <c r="H21" s="54"/>
      <c r="I21" s="54"/>
      <c r="J21" s="54"/>
      <c r="K21" s="54"/>
    </row>
    <row r="22" spans="1:16" x14ac:dyDescent="0.3">
      <c r="B22" s="54"/>
      <c r="C22" s="54"/>
      <c r="D22" s="54"/>
      <c r="E22" s="54"/>
      <c r="F22" s="54"/>
      <c r="G22" s="54"/>
      <c r="H22" s="54"/>
      <c r="I22" s="54"/>
      <c r="J22" s="54"/>
      <c r="K22" s="54"/>
    </row>
    <row r="23" spans="1:16" x14ac:dyDescent="0.3">
      <c r="B23" s="54"/>
      <c r="C23" s="54"/>
      <c r="D23" s="54"/>
      <c r="E23" s="54"/>
      <c r="F23" s="54"/>
      <c r="G23" s="54"/>
      <c r="H23" s="54"/>
      <c r="I23" s="54"/>
      <c r="J23" s="54"/>
      <c r="K23" s="54"/>
    </row>
    <row r="25" spans="1:16" x14ac:dyDescent="0.3">
      <c r="A25" s="1" t="s">
        <v>26</v>
      </c>
      <c r="B25" s="37" t="s">
        <v>27</v>
      </c>
      <c r="C25" s="37" t="s">
        <v>24</v>
      </c>
      <c r="D25" s="49" t="s">
        <v>28</v>
      </c>
      <c r="E25" s="50"/>
      <c r="F25" s="1">
        <v>530.9</v>
      </c>
      <c r="G25" s="41">
        <f>F25/F26</f>
        <v>2.6705231388329986</v>
      </c>
      <c r="I25" s="37" t="s">
        <v>34</v>
      </c>
      <c r="J25" s="41">
        <f>SQRT((0.2/530.9)^2+((0.2+0.2)/(F26))^2)*G25</f>
        <v>5.4666544833054257E-3</v>
      </c>
      <c r="L25" s="37" t="s">
        <v>33</v>
      </c>
      <c r="M25" s="1">
        <f>J25</f>
        <v>5.4666544833054257E-3</v>
      </c>
      <c r="N25" s="41">
        <f>M25/M26</f>
        <v>2.0470350560955327E-3</v>
      </c>
    </row>
    <row r="26" spans="1:16" x14ac:dyDescent="0.3">
      <c r="B26" s="38"/>
      <c r="C26" s="38"/>
      <c r="D26" s="49" t="s">
        <v>29</v>
      </c>
      <c r="E26" s="50"/>
      <c r="F26" s="1">
        <f>F25-H16</f>
        <v>198.79999999999995</v>
      </c>
      <c r="G26" s="42"/>
      <c r="I26" s="38"/>
      <c r="J26" s="42"/>
      <c r="L26" s="38"/>
      <c r="M26" s="1">
        <f>G25</f>
        <v>2.6705231388329986</v>
      </c>
      <c r="N26" s="42"/>
    </row>
    <row r="28" spans="1:16" x14ac:dyDescent="0.3">
      <c r="B28" s="37" t="s">
        <v>35</v>
      </c>
      <c r="C28" s="37" t="s">
        <v>24</v>
      </c>
      <c r="D28" s="11" t="s">
        <v>31</v>
      </c>
      <c r="E28" s="1">
        <f>F16-F25</f>
        <v>6.3999999999999773</v>
      </c>
      <c r="F28" s="39">
        <f>E28/E29</f>
        <v>1.2055000941796906E-2</v>
      </c>
      <c r="H28" s="37" t="s">
        <v>36</v>
      </c>
      <c r="I28" s="39">
        <f>SQRT((0.4/E28)^2+(0.2/F25)^2)*F28</f>
        <v>7.5345124521829037E-4</v>
      </c>
      <c r="K28" s="37" t="s">
        <v>37</v>
      </c>
      <c r="L28" s="1">
        <f>I28</f>
        <v>7.5345124521829037E-4</v>
      </c>
      <c r="M28" s="43">
        <f>L28/L29</f>
        <v>6.2501135325998713E-2</v>
      </c>
    </row>
    <row r="29" spans="1:16" x14ac:dyDescent="0.3">
      <c r="B29" s="38"/>
      <c r="C29" s="38"/>
      <c r="D29" s="11" t="s">
        <v>32</v>
      </c>
      <c r="E29" s="1">
        <f>F25</f>
        <v>530.9</v>
      </c>
      <c r="F29" s="40"/>
      <c r="H29" s="38"/>
      <c r="I29" s="40"/>
      <c r="K29" s="38"/>
      <c r="L29" s="1">
        <f>F28</f>
        <v>1.2055000941796906E-2</v>
      </c>
      <c r="M29" s="44"/>
    </row>
    <row r="31" spans="1:16" x14ac:dyDescent="0.3">
      <c r="B31" s="37" t="s">
        <v>30</v>
      </c>
      <c r="C31" s="37" t="s">
        <v>24</v>
      </c>
      <c r="D31" s="11" t="s">
        <v>32</v>
      </c>
      <c r="E31" s="1">
        <f>F25</f>
        <v>530.9</v>
      </c>
      <c r="F31" s="41">
        <f>E31/E32</f>
        <v>2.5872319688109169</v>
      </c>
      <c r="H31" s="37" t="s">
        <v>39</v>
      </c>
      <c r="I31" s="41">
        <f>SQRT((0.2/E29)^2+(P17)^2)*F31</f>
        <v>3.6969696810700515E-3</v>
      </c>
      <c r="K31" s="37" t="s">
        <v>38</v>
      </c>
      <c r="L31" s="41">
        <f>I31/F31</f>
        <v>1.4289285713987086E-3</v>
      </c>
    </row>
    <row r="32" spans="1:16" x14ac:dyDescent="0.3">
      <c r="B32" s="38"/>
      <c r="C32" s="38"/>
      <c r="D32" s="11" t="s">
        <v>9</v>
      </c>
      <c r="E32" s="1">
        <f>I17</f>
        <v>205.19999999999993</v>
      </c>
      <c r="F32" s="42"/>
      <c r="H32" s="38"/>
      <c r="I32" s="42"/>
      <c r="K32" s="38"/>
      <c r="L32" s="42"/>
    </row>
    <row r="34" spans="1:13" x14ac:dyDescent="0.3">
      <c r="A34" s="3" t="s">
        <v>40</v>
      </c>
      <c r="B34" s="1" t="s">
        <v>44</v>
      </c>
      <c r="C34" s="1" t="s">
        <v>24</v>
      </c>
      <c r="D34" s="11" t="s">
        <v>27</v>
      </c>
      <c r="E34" s="1" t="s">
        <v>21</v>
      </c>
      <c r="F34" s="1">
        <v>1</v>
      </c>
      <c r="H34" s="1" t="s">
        <v>41</v>
      </c>
      <c r="I34" s="1" t="s">
        <v>24</v>
      </c>
      <c r="J34" s="11" t="s">
        <v>44</v>
      </c>
    </row>
    <row r="35" spans="1:13" x14ac:dyDescent="0.3">
      <c r="B35" s="1"/>
      <c r="C35" s="1"/>
      <c r="D35" s="11" t="s">
        <v>30</v>
      </c>
      <c r="E35" s="1"/>
      <c r="F35" s="1"/>
      <c r="H35" s="1"/>
      <c r="I35" s="1"/>
      <c r="J35" s="11" t="s">
        <v>45</v>
      </c>
    </row>
    <row r="36" spans="1:13" x14ac:dyDescent="0.3">
      <c r="B36" s="1" t="s">
        <v>44</v>
      </c>
      <c r="C36" s="1" t="s">
        <v>24</v>
      </c>
      <c r="D36" s="1">
        <f>G25</f>
        <v>2.6705231388329986</v>
      </c>
      <c r="E36" s="1" t="s">
        <v>21</v>
      </c>
      <c r="F36" s="1">
        <v>1</v>
      </c>
      <c r="H36" s="1" t="s">
        <v>41</v>
      </c>
      <c r="I36" s="1" t="s">
        <v>24</v>
      </c>
      <c r="J36" s="1">
        <f>D38</f>
        <v>3.2193158953722323E-2</v>
      </c>
    </row>
    <row r="37" spans="1:13" x14ac:dyDescent="0.3">
      <c r="B37" s="1"/>
      <c r="C37" s="1"/>
      <c r="D37" s="1">
        <f>F31</f>
        <v>2.5872319688109169</v>
      </c>
      <c r="E37" s="1"/>
      <c r="F37" s="1"/>
      <c r="H37" s="1"/>
      <c r="I37" s="1"/>
      <c r="J37" s="1">
        <f>(1+D38)</f>
        <v>1.0321931589537223</v>
      </c>
    </row>
    <row r="38" spans="1:13" x14ac:dyDescent="0.3">
      <c r="B38" s="1" t="s">
        <v>44</v>
      </c>
      <c r="C38" s="1" t="s">
        <v>24</v>
      </c>
      <c r="D38" s="6">
        <f>(D36/D37)-1</f>
        <v>3.2193158953722323E-2</v>
      </c>
      <c r="E38" s="1"/>
      <c r="F38" s="1"/>
      <c r="H38" s="1" t="s">
        <v>41</v>
      </c>
      <c r="I38" s="1" t="s">
        <v>24</v>
      </c>
      <c r="J38" s="6">
        <f>J36/J37</f>
        <v>3.1189083820662756E-2</v>
      </c>
    </row>
    <row r="42" spans="1:13" x14ac:dyDescent="0.3">
      <c r="A42" s="3" t="s">
        <v>46</v>
      </c>
      <c r="B42" s="56" t="s">
        <v>51</v>
      </c>
      <c r="C42" s="56"/>
      <c r="D42" s="56"/>
      <c r="F42" s="10" t="s">
        <v>49</v>
      </c>
    </row>
    <row r="43" spans="1:13" x14ac:dyDescent="0.3">
      <c r="B43" s="1" t="s">
        <v>47</v>
      </c>
      <c r="C43" s="1" t="s">
        <v>24</v>
      </c>
      <c r="D43" s="11" t="s">
        <v>48</v>
      </c>
    </row>
    <row r="44" spans="1:13" ht="14.4" customHeight="1" x14ac:dyDescent="0.3">
      <c r="B44" s="1"/>
      <c r="C44" s="1"/>
      <c r="D44" s="11" t="s">
        <v>44</v>
      </c>
      <c r="F44" s="36" t="s">
        <v>72</v>
      </c>
      <c r="G44" s="36"/>
      <c r="H44" s="36"/>
      <c r="I44" s="36"/>
      <c r="J44" s="36"/>
      <c r="K44" s="36"/>
      <c r="L44" s="36"/>
      <c r="M44" s="36"/>
    </row>
    <row r="45" spans="1:13" x14ac:dyDescent="0.3">
      <c r="B45" s="1" t="s">
        <v>47</v>
      </c>
      <c r="C45" s="1" t="s">
        <v>24</v>
      </c>
      <c r="D45" s="1">
        <f>(F28*G25)</f>
        <v>3.2193158953722226E-2</v>
      </c>
      <c r="F45" s="36"/>
      <c r="G45" s="36"/>
      <c r="H45" s="36"/>
      <c r="I45" s="36"/>
      <c r="J45" s="36"/>
      <c r="K45" s="36"/>
      <c r="L45" s="36"/>
      <c r="M45" s="36"/>
    </row>
    <row r="46" spans="1:13" x14ac:dyDescent="0.3">
      <c r="B46" s="1"/>
      <c r="C46" s="1"/>
      <c r="D46" s="1">
        <f>D38</f>
        <v>3.2193158953722323E-2</v>
      </c>
      <c r="F46" s="36"/>
      <c r="G46" s="36"/>
      <c r="H46" s="36"/>
      <c r="I46" s="36"/>
      <c r="J46" s="36"/>
      <c r="K46" s="36"/>
      <c r="L46" s="36"/>
      <c r="M46" s="36"/>
    </row>
    <row r="47" spans="1:13" x14ac:dyDescent="0.3">
      <c r="B47" s="1" t="s">
        <v>47</v>
      </c>
      <c r="C47" s="1" t="s">
        <v>24</v>
      </c>
      <c r="D47" s="6">
        <f>D45/D46</f>
        <v>0.999999999999997</v>
      </c>
      <c r="F47" s="36"/>
      <c r="G47" s="36"/>
      <c r="H47" s="36"/>
      <c r="I47" s="36"/>
      <c r="J47" s="36"/>
      <c r="K47" s="36"/>
      <c r="L47" s="36"/>
      <c r="M47" s="36"/>
    </row>
  </sheetData>
  <mergeCells count="46">
    <mergeCell ref="B11:D11"/>
    <mergeCell ref="B13:C13"/>
    <mergeCell ref="B12:C12"/>
    <mergeCell ref="B19:K23"/>
    <mergeCell ref="J2:L2"/>
    <mergeCell ref="J3:L3"/>
    <mergeCell ref="J4:L4"/>
    <mergeCell ref="H11:I11"/>
    <mergeCell ref="B2:F2"/>
    <mergeCell ref="B3:F3"/>
    <mergeCell ref="B4:F4"/>
    <mergeCell ref="H2:I2"/>
    <mergeCell ref="H3:I3"/>
    <mergeCell ref="H4:I4"/>
    <mergeCell ref="B15:D15"/>
    <mergeCell ref="E11:F11"/>
    <mergeCell ref="J15:K15"/>
    <mergeCell ref="P16:Q16"/>
    <mergeCell ref="D26:E26"/>
    <mergeCell ref="D25:E25"/>
    <mergeCell ref="L12:M12"/>
    <mergeCell ref="H12:I12"/>
    <mergeCell ref="H13:I13"/>
    <mergeCell ref="B25:B26"/>
    <mergeCell ref="C25:C26"/>
    <mergeCell ref="G25:G26"/>
    <mergeCell ref="L25:L26"/>
    <mergeCell ref="N25:N26"/>
    <mergeCell ref="I25:I26"/>
    <mergeCell ref="J25:J26"/>
    <mergeCell ref="F44:M47"/>
    <mergeCell ref="B28:B29"/>
    <mergeCell ref="C28:C29"/>
    <mergeCell ref="F28:F29"/>
    <mergeCell ref="C31:C32"/>
    <mergeCell ref="I31:I32"/>
    <mergeCell ref="H31:H32"/>
    <mergeCell ref="B31:B32"/>
    <mergeCell ref="M28:M29"/>
    <mergeCell ref="K28:K29"/>
    <mergeCell ref="K31:K32"/>
    <mergeCell ref="L31:L32"/>
    <mergeCell ref="F31:F32"/>
    <mergeCell ref="H28:H29"/>
    <mergeCell ref="I28:I29"/>
    <mergeCell ref="B42:D42"/>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F6AF4-9254-4448-BB25-202C93612D60}">
  <dimension ref="A2:I44"/>
  <sheetViews>
    <sheetView topLeftCell="B13" zoomScale="80" zoomScaleNormal="80" workbookViewId="0">
      <selection activeCell="G27" sqref="G27"/>
    </sheetView>
  </sheetViews>
  <sheetFormatPr defaultRowHeight="14.4" x14ac:dyDescent="0.3"/>
  <cols>
    <col min="1" max="1" width="8.88671875" style="2" customWidth="1"/>
    <col min="2" max="2" width="8.44140625" style="2" customWidth="1"/>
    <col min="3" max="3" width="21.6640625" style="2" customWidth="1"/>
    <col min="4" max="4" width="17.6640625" style="2" customWidth="1"/>
    <col min="5" max="5" width="16.77734375" style="2" customWidth="1"/>
    <col min="6" max="6" width="13.109375" style="2" customWidth="1"/>
    <col min="7" max="7" width="14.21875" style="2" customWidth="1"/>
    <col min="8" max="8" width="20.6640625" style="2" customWidth="1"/>
    <col min="9" max="16384" width="8.88671875" style="2"/>
  </cols>
  <sheetData>
    <row r="2" spans="1:9" x14ac:dyDescent="0.3">
      <c r="A2" s="1" t="s">
        <v>50</v>
      </c>
      <c r="B2" s="63" t="s">
        <v>62</v>
      </c>
      <c r="C2" s="64"/>
      <c r="D2" s="64"/>
      <c r="E2" s="64"/>
      <c r="F2" s="64"/>
      <c r="G2" s="64"/>
      <c r="H2" s="64"/>
      <c r="I2" s="65"/>
    </row>
    <row r="3" spans="1:9" x14ac:dyDescent="0.3">
      <c r="B3" s="26" t="s">
        <v>52</v>
      </c>
      <c r="C3" s="61" t="s">
        <v>53</v>
      </c>
      <c r="D3" s="61"/>
      <c r="E3" s="61"/>
      <c r="F3" s="61"/>
      <c r="G3" s="61"/>
      <c r="H3" s="61"/>
      <c r="I3" s="61"/>
    </row>
    <row r="4" spans="1:9" x14ac:dyDescent="0.3">
      <c r="B4" s="12"/>
      <c r="C4" s="12" t="s">
        <v>77</v>
      </c>
      <c r="D4" s="12">
        <v>1.2250000000000001</v>
      </c>
      <c r="E4" s="12" t="s">
        <v>54</v>
      </c>
      <c r="F4" s="12" t="s">
        <v>76</v>
      </c>
      <c r="G4" s="13">
        <v>1.8099999999999999E-5</v>
      </c>
      <c r="H4" s="12" t="s">
        <v>55</v>
      </c>
      <c r="I4" s="12"/>
    </row>
    <row r="5" spans="1:9" x14ac:dyDescent="0.3">
      <c r="B5" s="12" t="s">
        <v>56</v>
      </c>
      <c r="C5" s="60" t="s">
        <v>57</v>
      </c>
      <c r="D5" s="60"/>
      <c r="E5" s="60"/>
      <c r="F5" s="60"/>
      <c r="G5" s="60"/>
      <c r="H5" s="60"/>
      <c r="I5" s="60"/>
    </row>
    <row r="6" spans="1:9" x14ac:dyDescent="0.3">
      <c r="B6" s="12"/>
      <c r="C6" s="12" t="s">
        <v>132</v>
      </c>
      <c r="D6" s="12">
        <v>999.1</v>
      </c>
      <c r="E6" s="12" t="s">
        <v>54</v>
      </c>
      <c r="F6" s="12" t="s">
        <v>75</v>
      </c>
      <c r="G6" s="13">
        <v>8.8999999999999995E-4</v>
      </c>
      <c r="H6" s="12" t="s">
        <v>55</v>
      </c>
      <c r="I6" s="12"/>
    </row>
    <row r="7" spans="1:9" x14ac:dyDescent="0.3">
      <c r="B7" s="12"/>
      <c r="C7" s="12"/>
      <c r="D7" s="12"/>
      <c r="E7" s="12"/>
      <c r="F7" s="12"/>
      <c r="G7" s="12"/>
      <c r="H7" s="12"/>
      <c r="I7" s="12"/>
    </row>
    <row r="8" spans="1:9" x14ac:dyDescent="0.3">
      <c r="B8" s="12"/>
      <c r="C8" s="60" t="s">
        <v>58</v>
      </c>
      <c r="D8" s="60"/>
      <c r="E8" s="60"/>
      <c r="F8" s="12"/>
      <c r="G8" s="12"/>
      <c r="H8" s="12"/>
      <c r="I8" s="12"/>
    </row>
    <row r="9" spans="1:9" x14ac:dyDescent="0.3">
      <c r="B9" s="12"/>
      <c r="C9" s="60" t="s">
        <v>59</v>
      </c>
      <c r="D9" s="60"/>
      <c r="E9" s="12">
        <v>6</v>
      </c>
      <c r="F9" s="12" t="s">
        <v>61</v>
      </c>
      <c r="G9" s="12" t="s">
        <v>64</v>
      </c>
      <c r="H9" s="12">
        <v>9.81</v>
      </c>
      <c r="I9" s="12" t="s">
        <v>65</v>
      </c>
    </row>
    <row r="10" spans="1:9" x14ac:dyDescent="0.3">
      <c r="B10" s="12"/>
      <c r="C10" s="60" t="s">
        <v>60</v>
      </c>
      <c r="D10" s="60"/>
      <c r="E10" s="12">
        <v>15</v>
      </c>
      <c r="F10" s="12" t="s">
        <v>61</v>
      </c>
      <c r="G10" s="12"/>
      <c r="H10" s="12"/>
      <c r="I10" s="12"/>
    </row>
    <row r="12" spans="1:9" x14ac:dyDescent="0.3">
      <c r="A12" s="3" t="s">
        <v>12</v>
      </c>
      <c r="B12" s="57" t="s">
        <v>63</v>
      </c>
      <c r="C12" s="57"/>
      <c r="D12" s="57"/>
      <c r="E12" s="57"/>
      <c r="F12" s="57"/>
      <c r="G12" s="57"/>
      <c r="H12" s="57"/>
      <c r="I12" s="57"/>
    </row>
    <row r="13" spans="1:9" ht="14.4" customHeight="1" x14ac:dyDescent="0.3">
      <c r="B13" s="62" t="s">
        <v>93</v>
      </c>
      <c r="C13" s="62"/>
      <c r="D13" s="62"/>
      <c r="E13" s="62"/>
      <c r="F13" s="62"/>
      <c r="G13" s="62"/>
      <c r="H13" s="62"/>
      <c r="I13" s="62"/>
    </row>
    <row r="14" spans="1:9" x14ac:dyDescent="0.3">
      <c r="B14" s="62"/>
      <c r="C14" s="62"/>
      <c r="D14" s="62"/>
      <c r="E14" s="62"/>
      <c r="F14" s="62"/>
      <c r="G14" s="62"/>
      <c r="H14" s="62"/>
      <c r="I14" s="62"/>
    </row>
    <row r="15" spans="1:9" x14ac:dyDescent="0.3">
      <c r="B15" s="62"/>
      <c r="C15" s="62"/>
      <c r="D15" s="62"/>
      <c r="E15" s="62"/>
      <c r="F15" s="62"/>
      <c r="G15" s="62"/>
      <c r="H15" s="62"/>
      <c r="I15" s="62"/>
    </row>
    <row r="16" spans="1:9" x14ac:dyDescent="0.3">
      <c r="B16" s="62"/>
      <c r="C16" s="62"/>
      <c r="D16" s="62"/>
      <c r="E16" s="62"/>
      <c r="F16" s="62"/>
      <c r="G16" s="62"/>
      <c r="H16" s="62"/>
      <c r="I16" s="62"/>
    </row>
    <row r="18" spans="1:9" x14ac:dyDescent="0.3">
      <c r="A18" s="1" t="s">
        <v>26</v>
      </c>
      <c r="B18" s="58" t="s">
        <v>90</v>
      </c>
      <c r="C18" s="59"/>
      <c r="D18" s="59"/>
      <c r="E18" s="59"/>
      <c r="F18" s="59"/>
      <c r="G18" s="59"/>
      <c r="H18" s="59"/>
      <c r="I18" s="59"/>
    </row>
    <row r="19" spans="1:9" x14ac:dyDescent="0.3">
      <c r="B19" s="1"/>
      <c r="C19" s="1" t="s">
        <v>69</v>
      </c>
      <c r="D19" s="1">
        <v>1000</v>
      </c>
      <c r="E19" s="1"/>
      <c r="F19" s="1"/>
      <c r="G19" s="1"/>
      <c r="H19" s="1"/>
      <c r="I19" s="1"/>
    </row>
    <row r="20" spans="1:9" x14ac:dyDescent="0.3">
      <c r="B20" s="1"/>
      <c r="C20" s="20" t="s">
        <v>67</v>
      </c>
      <c r="D20" s="20" t="s">
        <v>68</v>
      </c>
      <c r="E20" s="20" t="s">
        <v>70</v>
      </c>
      <c r="F20" s="20" t="s">
        <v>73</v>
      </c>
      <c r="G20" s="20" t="s">
        <v>85</v>
      </c>
      <c r="H20" s="20" t="s">
        <v>86</v>
      </c>
      <c r="I20" s="1"/>
    </row>
    <row r="21" spans="1:9" x14ac:dyDescent="0.3">
      <c r="B21" s="1"/>
      <c r="C21" s="9">
        <v>25</v>
      </c>
      <c r="D21" s="9">
        <f>C21*$D$19</f>
        <v>25000</v>
      </c>
      <c r="E21" s="21">
        <v>47.8</v>
      </c>
      <c r="F21" s="9">
        <f>D21/($D$4*$H$9)</f>
        <v>2080.3428405001141</v>
      </c>
      <c r="G21" s="21">
        <f>E21/F21</f>
        <v>2.2976982000000003E-2</v>
      </c>
      <c r="H21" s="67">
        <f>(G25*G4)/(D4*H9)</f>
        <v>3.3786666666666674E-8</v>
      </c>
      <c r="I21" s="1"/>
    </row>
    <row r="22" spans="1:9" x14ac:dyDescent="0.3">
      <c r="B22" s="1"/>
      <c r="C22" s="9">
        <v>50</v>
      </c>
      <c r="D22" s="9">
        <f>C22*$D$19</f>
        <v>50000</v>
      </c>
      <c r="E22" s="21">
        <v>94.9</v>
      </c>
      <c r="F22" s="9">
        <f t="shared" ref="F22:F24" si="0">D22/($D$4*$H$9)</f>
        <v>4160.6856810002282</v>
      </c>
      <c r="G22" s="21">
        <f t="shared" ref="G22:G24" si="1">E22/F22</f>
        <v>2.2808740500000004E-2</v>
      </c>
      <c r="H22" s="68"/>
      <c r="I22" s="1"/>
    </row>
    <row r="23" spans="1:9" x14ac:dyDescent="0.3">
      <c r="B23" s="1"/>
      <c r="C23" s="9">
        <v>75</v>
      </c>
      <c r="D23" s="9">
        <f>C23*$D$19</f>
        <v>75000</v>
      </c>
      <c r="E23" s="21">
        <v>134</v>
      </c>
      <c r="F23" s="9">
        <f t="shared" si="0"/>
        <v>6241.0285215003432</v>
      </c>
      <c r="G23" s="21">
        <f t="shared" si="1"/>
        <v>2.1470820000000002E-2</v>
      </c>
      <c r="H23" s="68"/>
      <c r="I23" s="1"/>
    </row>
    <row r="24" spans="1:9" x14ac:dyDescent="0.3">
      <c r="B24" s="1"/>
      <c r="C24" s="9">
        <v>100</v>
      </c>
      <c r="D24" s="9">
        <f>C24*$D$19</f>
        <v>100000</v>
      </c>
      <c r="E24" s="21">
        <v>187</v>
      </c>
      <c r="F24" s="9">
        <f t="shared" si="0"/>
        <v>8321.3713620004564</v>
      </c>
      <c r="G24" s="21">
        <f t="shared" si="1"/>
        <v>2.2472257500000002E-2</v>
      </c>
      <c r="H24" s="68"/>
      <c r="I24" s="1"/>
    </row>
    <row r="25" spans="1:9" x14ac:dyDescent="0.3">
      <c r="B25" s="8" t="s">
        <v>74</v>
      </c>
      <c r="C25" s="1"/>
      <c r="D25" s="1"/>
      <c r="E25" s="1"/>
      <c r="F25" s="1"/>
      <c r="G25" s="23">
        <f>AVERAGE(G21:G24)</f>
        <v>2.2432200000000006E-2</v>
      </c>
      <c r="H25" s="69"/>
      <c r="I25" s="1"/>
    </row>
    <row r="26" spans="1:9" x14ac:dyDescent="0.3">
      <c r="B26" s="1"/>
      <c r="C26" s="1"/>
      <c r="D26" s="1"/>
      <c r="E26" s="1"/>
      <c r="F26" s="1"/>
      <c r="G26" s="1">
        <v>2.24E-4</v>
      </c>
      <c r="H26" s="35">
        <f>(G26*G4)/(D4*H9)</f>
        <v>3.3738168050094649E-10</v>
      </c>
      <c r="I26" s="1"/>
    </row>
    <row r="28" spans="1:9" x14ac:dyDescent="0.3">
      <c r="A28" s="3" t="s">
        <v>40</v>
      </c>
      <c r="B28" s="66" t="s">
        <v>78</v>
      </c>
      <c r="C28" s="66"/>
      <c r="D28" s="66"/>
      <c r="E28" s="66"/>
      <c r="F28" s="66"/>
      <c r="G28" s="66"/>
      <c r="H28" s="66"/>
      <c r="I28" s="66"/>
    </row>
    <row r="29" spans="1:9" x14ac:dyDescent="0.3">
      <c r="B29" s="1"/>
      <c r="C29" s="19" t="s">
        <v>79</v>
      </c>
      <c r="D29" s="29">
        <v>70</v>
      </c>
      <c r="E29" s="19" t="s">
        <v>82</v>
      </c>
      <c r="F29" s="29">
        <v>7200</v>
      </c>
      <c r="G29" s="1"/>
      <c r="H29" s="1"/>
      <c r="I29" s="1"/>
    </row>
    <row r="30" spans="1:9" x14ac:dyDescent="0.3">
      <c r="B30" s="1"/>
      <c r="C30" s="27" t="s">
        <v>80</v>
      </c>
      <c r="D30" s="30">
        <v>11</v>
      </c>
      <c r="E30" s="27" t="s">
        <v>81</v>
      </c>
      <c r="F30" s="30">
        <v>871</v>
      </c>
      <c r="G30" s="4"/>
      <c r="H30" s="1"/>
      <c r="I30" s="1"/>
    </row>
    <row r="31" spans="1:9" x14ac:dyDescent="0.3">
      <c r="B31" s="1"/>
      <c r="C31" s="28"/>
      <c r="D31" s="28"/>
      <c r="E31" s="28"/>
      <c r="F31" s="28"/>
      <c r="G31" s="1"/>
      <c r="H31" s="1"/>
      <c r="I31" s="1"/>
    </row>
    <row r="32" spans="1:9" x14ac:dyDescent="0.3">
      <c r="B32" s="1"/>
      <c r="C32" s="31" t="s">
        <v>83</v>
      </c>
      <c r="D32" s="33">
        <f>D29/D30</f>
        <v>6.3636363636363633</v>
      </c>
      <c r="E32" s="5"/>
      <c r="F32" s="5"/>
      <c r="G32" s="5"/>
      <c r="H32" s="1"/>
      <c r="I32" s="1"/>
    </row>
    <row r="33" spans="1:9" x14ac:dyDescent="0.3">
      <c r="B33" s="1"/>
      <c r="C33" s="32" t="s">
        <v>73</v>
      </c>
      <c r="D33" s="33">
        <f>LN(D32)</f>
        <v>1.8505999692509885</v>
      </c>
      <c r="E33" s="1"/>
      <c r="F33" s="1"/>
      <c r="G33" s="1"/>
      <c r="H33" s="1"/>
      <c r="I33" s="1"/>
    </row>
    <row r="34" spans="1:9" x14ac:dyDescent="0.3">
      <c r="B34" s="1"/>
      <c r="C34" s="19" t="s">
        <v>87</v>
      </c>
      <c r="D34" s="25">
        <f>((F30)/ ((22/7)*(6/2)^2*(F29)))*(LN(70/11))</f>
        <v>7.9146380559226136E-3</v>
      </c>
      <c r="E34" s="1"/>
      <c r="F34" s="1"/>
      <c r="G34" s="1"/>
      <c r="H34" s="1"/>
      <c r="I34" s="1"/>
    </row>
    <row r="35" spans="1:9" x14ac:dyDescent="0.3">
      <c r="B35" s="1"/>
      <c r="C35" s="19" t="s">
        <v>88</v>
      </c>
      <c r="D35" s="10">
        <f>D34*(0.00089)/(999.1*9.81)</f>
        <v>7.1869247764079674E-10</v>
      </c>
      <c r="E35" s="1" t="s">
        <v>89</v>
      </c>
      <c r="F35" s="23">
        <v>7.19E-10</v>
      </c>
      <c r="G35" s="1"/>
      <c r="H35" s="1"/>
      <c r="I35" s="1"/>
    </row>
    <row r="36" spans="1:9" x14ac:dyDescent="0.3">
      <c r="B36" s="1"/>
      <c r="C36" s="1"/>
      <c r="D36" s="1"/>
      <c r="E36" s="1"/>
      <c r="F36" s="1"/>
      <c r="G36" s="1"/>
      <c r="H36" s="1"/>
      <c r="I36" s="1"/>
    </row>
    <row r="38" spans="1:9" x14ac:dyDescent="0.3">
      <c r="A38" s="3" t="s">
        <v>46</v>
      </c>
      <c r="B38" s="62" t="s">
        <v>94</v>
      </c>
      <c r="C38" s="62"/>
      <c r="D38" s="62"/>
      <c r="E38" s="62"/>
      <c r="F38" s="62"/>
      <c r="G38" s="62"/>
      <c r="H38" s="62"/>
      <c r="I38" s="62"/>
    </row>
    <row r="39" spans="1:9" x14ac:dyDescent="0.3">
      <c r="B39" s="62" t="s">
        <v>95</v>
      </c>
      <c r="C39" s="62"/>
      <c r="D39" s="62"/>
      <c r="E39" s="62"/>
      <c r="F39" s="62"/>
      <c r="G39" s="62"/>
      <c r="H39" s="62"/>
      <c r="I39" s="62"/>
    </row>
    <row r="40" spans="1:9" x14ac:dyDescent="0.3">
      <c r="B40" s="62"/>
      <c r="C40" s="62"/>
      <c r="D40" s="62"/>
      <c r="E40" s="62"/>
      <c r="F40" s="62"/>
      <c r="G40" s="62"/>
      <c r="H40" s="62"/>
      <c r="I40" s="62"/>
    </row>
    <row r="41" spans="1:9" x14ac:dyDescent="0.3">
      <c r="B41" s="62"/>
      <c r="C41" s="62"/>
      <c r="D41" s="62"/>
      <c r="E41" s="62"/>
      <c r="F41" s="62"/>
      <c r="G41" s="62"/>
      <c r="H41" s="62"/>
      <c r="I41" s="62"/>
    </row>
    <row r="42" spans="1:9" x14ac:dyDescent="0.3">
      <c r="B42" s="62"/>
      <c r="C42" s="62"/>
      <c r="D42" s="62"/>
      <c r="E42" s="62"/>
      <c r="F42" s="62"/>
      <c r="G42" s="62"/>
      <c r="H42" s="62"/>
      <c r="I42" s="62"/>
    </row>
    <row r="43" spans="1:9" x14ac:dyDescent="0.3">
      <c r="B43" s="62"/>
      <c r="C43" s="62"/>
      <c r="D43" s="62"/>
      <c r="E43" s="62"/>
      <c r="F43" s="62"/>
      <c r="G43" s="62"/>
      <c r="H43" s="62"/>
      <c r="I43" s="62"/>
    </row>
    <row r="44" spans="1:9" x14ac:dyDescent="0.3">
      <c r="B44" s="62"/>
      <c r="C44" s="62"/>
      <c r="D44" s="62"/>
      <c r="E44" s="62"/>
      <c r="F44" s="62"/>
      <c r="G44" s="62"/>
      <c r="H44" s="62"/>
      <c r="I44" s="62"/>
    </row>
  </sheetData>
  <mergeCells count="13">
    <mergeCell ref="B2:I2"/>
    <mergeCell ref="B28:I28"/>
    <mergeCell ref="B39:I44"/>
    <mergeCell ref="B38:I38"/>
    <mergeCell ref="C9:D9"/>
    <mergeCell ref="C10:D10"/>
    <mergeCell ref="H21:H25"/>
    <mergeCell ref="B12:I12"/>
    <mergeCell ref="B18:I18"/>
    <mergeCell ref="C5:I5"/>
    <mergeCell ref="C3:I3"/>
    <mergeCell ref="C8:E8"/>
    <mergeCell ref="B13:I1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2ACF5-C05D-4510-AA94-B01BF0206C06}">
  <dimension ref="A2:G70"/>
  <sheetViews>
    <sheetView tabSelected="1" zoomScale="80" zoomScaleNormal="80" workbookViewId="0">
      <selection activeCell="N78" sqref="N78"/>
    </sheetView>
  </sheetViews>
  <sheetFormatPr defaultRowHeight="14.4" x14ac:dyDescent="0.3"/>
  <cols>
    <col min="2" max="2" width="9.77734375" customWidth="1"/>
    <col min="3" max="3" width="10.33203125" customWidth="1"/>
    <col min="4" max="4" width="11.88671875" customWidth="1"/>
    <col min="5" max="5" width="12.44140625" customWidth="1"/>
  </cols>
  <sheetData>
    <row r="2" spans="1:7" x14ac:dyDescent="0.3">
      <c r="A2" s="34" t="s">
        <v>92</v>
      </c>
      <c r="B2" s="54" t="s">
        <v>106</v>
      </c>
      <c r="C2" s="54"/>
      <c r="D2" s="1" t="s">
        <v>102</v>
      </c>
      <c r="E2" s="1" t="s">
        <v>103</v>
      </c>
      <c r="F2" s="1"/>
      <c r="G2" s="1"/>
    </row>
    <row r="3" spans="1:7" x14ac:dyDescent="0.3">
      <c r="B3" s="56" t="s">
        <v>99</v>
      </c>
      <c r="C3" s="56"/>
      <c r="D3" s="1">
        <v>5.6</v>
      </c>
      <c r="E3" s="35">
        <v>5.8E-5</v>
      </c>
      <c r="F3" s="1"/>
      <c r="G3" s="1"/>
    </row>
    <row r="4" spans="1:7" x14ac:dyDescent="0.3">
      <c r="B4" s="56" t="s">
        <v>100</v>
      </c>
      <c r="C4" s="56"/>
      <c r="D4" s="1">
        <v>0.4</v>
      </c>
      <c r="E4" s="35">
        <v>3.5999999999999998E-8</v>
      </c>
      <c r="F4" s="1"/>
      <c r="G4" s="1"/>
    </row>
    <row r="5" spans="1:7" x14ac:dyDescent="0.3">
      <c r="B5" s="56" t="s">
        <v>101</v>
      </c>
      <c r="C5" s="56"/>
      <c r="D5" s="1"/>
      <c r="E5" s="35">
        <v>1.9E-2</v>
      </c>
      <c r="F5" s="1"/>
      <c r="G5" s="1"/>
    </row>
    <row r="6" spans="1:7" x14ac:dyDescent="0.3">
      <c r="B6" s="56" t="s">
        <v>107</v>
      </c>
      <c r="C6" s="56"/>
      <c r="D6" s="1">
        <v>14</v>
      </c>
      <c r="E6" s="1"/>
      <c r="F6" s="1"/>
      <c r="G6" s="1"/>
    </row>
    <row r="7" spans="1:7" x14ac:dyDescent="0.3">
      <c r="B7" s="56" t="s">
        <v>108</v>
      </c>
      <c r="C7" s="56"/>
      <c r="D7" s="1">
        <v>4</v>
      </c>
      <c r="E7" s="1"/>
      <c r="F7" s="1"/>
      <c r="G7" s="1"/>
    </row>
    <row r="8" spans="1:7" x14ac:dyDescent="0.3">
      <c r="B8" s="56" t="s">
        <v>109</v>
      </c>
      <c r="C8" s="56"/>
      <c r="D8" s="1">
        <v>1.5</v>
      </c>
      <c r="E8" s="1" t="s">
        <v>110</v>
      </c>
      <c r="F8" s="1"/>
      <c r="G8" s="1"/>
    </row>
    <row r="9" spans="1:7" x14ac:dyDescent="0.3">
      <c r="B9" s="56" t="s">
        <v>111</v>
      </c>
      <c r="C9" s="56"/>
      <c r="D9" s="57" t="s">
        <v>112</v>
      </c>
      <c r="E9" s="57"/>
      <c r="F9" s="57"/>
      <c r="G9" s="57"/>
    </row>
    <row r="10" spans="1:7" x14ac:dyDescent="0.3">
      <c r="B10" s="2"/>
      <c r="C10" s="2"/>
      <c r="D10" s="2"/>
      <c r="E10" s="2"/>
      <c r="F10" s="2"/>
      <c r="G10" s="2"/>
    </row>
    <row r="11" spans="1:7" x14ac:dyDescent="0.3">
      <c r="B11" s="2"/>
      <c r="C11" s="2"/>
      <c r="D11" s="2"/>
      <c r="E11" s="2"/>
      <c r="F11" s="2"/>
      <c r="G11" s="2"/>
    </row>
    <row r="12" spans="1:7" x14ac:dyDescent="0.3">
      <c r="A12" s="28" t="s">
        <v>104</v>
      </c>
      <c r="B12" s="57" t="s">
        <v>105</v>
      </c>
      <c r="C12" s="57"/>
      <c r="D12" s="57"/>
      <c r="E12" s="57"/>
      <c r="F12" s="57"/>
      <c r="G12" s="57"/>
    </row>
    <row r="13" spans="1:7" x14ac:dyDescent="0.3">
      <c r="B13" s="57" t="s">
        <v>113</v>
      </c>
      <c r="C13" s="57"/>
      <c r="D13" s="57"/>
      <c r="E13" s="1" t="s">
        <v>114</v>
      </c>
      <c r="F13" s="1"/>
      <c r="G13" s="1"/>
    </row>
    <row r="14" spans="1:7" x14ac:dyDescent="0.3">
      <c r="B14" s="1" t="s">
        <v>116</v>
      </c>
      <c r="C14" s="1" t="s">
        <v>24</v>
      </c>
      <c r="D14" s="1" t="s">
        <v>115</v>
      </c>
      <c r="E14" s="6">
        <f>D6-D3-D4</f>
        <v>8</v>
      </c>
      <c r="F14" s="1"/>
      <c r="G14" s="1"/>
    </row>
    <row r="15" spans="1:7" x14ac:dyDescent="0.3">
      <c r="B15" s="1"/>
      <c r="C15" s="1"/>
      <c r="D15" s="1"/>
      <c r="E15" s="1"/>
      <c r="F15" s="1"/>
      <c r="G15" s="1"/>
    </row>
    <row r="16" spans="1:7" x14ac:dyDescent="0.3">
      <c r="B16" s="57" t="s">
        <v>125</v>
      </c>
      <c r="C16" s="57"/>
      <c r="D16" s="57"/>
      <c r="E16" s="1"/>
      <c r="F16" s="1"/>
      <c r="G16" s="1"/>
    </row>
    <row r="17" spans="1:7" x14ac:dyDescent="0.3">
      <c r="B17" s="1" t="s">
        <v>118</v>
      </c>
      <c r="C17" s="1" t="s">
        <v>24</v>
      </c>
      <c r="D17" s="45" t="s">
        <v>153</v>
      </c>
      <c r="E17" s="46"/>
      <c r="F17" s="1"/>
      <c r="G17" s="1"/>
    </row>
    <row r="18" spans="1:7" x14ac:dyDescent="0.3">
      <c r="B18" s="1" t="s">
        <v>117</v>
      </c>
      <c r="C18" s="1" t="s">
        <v>24</v>
      </c>
      <c r="D18" s="1" t="s">
        <v>118</v>
      </c>
      <c r="E18" s="1">
        <f>D8</f>
        <v>1.5</v>
      </c>
      <c r="F18" s="6">
        <f>E18/E19</f>
        <v>0.10714285714285714</v>
      </c>
      <c r="G18" s="1"/>
    </row>
    <row r="19" spans="1:7" x14ac:dyDescent="0.3">
      <c r="B19" s="1"/>
      <c r="C19" s="1"/>
      <c r="D19" s="1" t="s">
        <v>119</v>
      </c>
      <c r="E19" s="1">
        <f>D6</f>
        <v>14</v>
      </c>
      <c r="F19" s="1"/>
      <c r="G19" s="1"/>
    </row>
    <row r="20" spans="1:7" x14ac:dyDescent="0.3">
      <c r="B20" s="1"/>
      <c r="C20" s="1"/>
      <c r="D20" s="1"/>
      <c r="E20" s="1"/>
      <c r="F20" s="1"/>
      <c r="G20" s="1"/>
    </row>
    <row r="21" spans="1:7" x14ac:dyDescent="0.3">
      <c r="B21" s="57" t="s">
        <v>120</v>
      </c>
      <c r="C21" s="57"/>
      <c r="D21" s="57"/>
      <c r="E21" s="57"/>
      <c r="F21" s="1"/>
      <c r="G21" s="1"/>
    </row>
    <row r="22" spans="1:7" x14ac:dyDescent="0.3">
      <c r="B22" s="1" t="s">
        <v>121</v>
      </c>
      <c r="C22" s="1" t="s">
        <v>24</v>
      </c>
      <c r="D22" s="1" t="s">
        <v>122</v>
      </c>
      <c r="E22" s="1"/>
      <c r="F22" s="1"/>
      <c r="G22" s="1"/>
    </row>
    <row r="23" spans="1:7" x14ac:dyDescent="0.3">
      <c r="B23" s="1"/>
      <c r="C23" s="1"/>
      <c r="D23" s="1" t="s">
        <v>123</v>
      </c>
      <c r="E23" s="1"/>
      <c r="F23" s="1"/>
      <c r="G23" s="1"/>
    </row>
    <row r="24" spans="1:7" x14ac:dyDescent="0.3">
      <c r="B24" s="1"/>
      <c r="C24" s="1"/>
      <c r="D24" s="1"/>
      <c r="E24" s="1"/>
      <c r="F24" s="1"/>
      <c r="G24" s="1"/>
    </row>
    <row r="25" spans="1:7" x14ac:dyDescent="0.3">
      <c r="B25" s="1" t="s">
        <v>121</v>
      </c>
      <c r="C25" s="1" t="s">
        <v>24</v>
      </c>
      <c r="D25" s="1">
        <f>E19</f>
        <v>14</v>
      </c>
      <c r="E25" s="23">
        <f>D25/D26</f>
        <v>1.2490984311009928E-6</v>
      </c>
      <c r="F25" s="1" t="s">
        <v>124</v>
      </c>
      <c r="G25" s="1"/>
    </row>
    <row r="26" spans="1:7" x14ac:dyDescent="0.3">
      <c r="B26" s="1"/>
      <c r="C26" s="1"/>
      <c r="D26" s="35">
        <f>((D3/E3)+(D4/E4)+(E14/E5))</f>
        <v>11208083.887880621</v>
      </c>
      <c r="E26" s="1"/>
      <c r="F26" s="1"/>
      <c r="G26" s="1"/>
    </row>
    <row r="27" spans="1:7" x14ac:dyDescent="0.3">
      <c r="B27" s="2"/>
      <c r="C27" s="2"/>
      <c r="D27" s="2"/>
      <c r="E27" s="2"/>
      <c r="F27" s="2"/>
      <c r="G27" s="2"/>
    </row>
    <row r="28" spans="1:7" x14ac:dyDescent="0.3">
      <c r="A28" s="28" t="s">
        <v>26</v>
      </c>
      <c r="B28" s="62" t="s">
        <v>126</v>
      </c>
      <c r="C28" s="62"/>
      <c r="D28" s="62"/>
      <c r="E28" s="62"/>
      <c r="F28" s="62"/>
      <c r="G28" s="62"/>
    </row>
    <row r="29" spans="1:7" x14ac:dyDescent="0.3">
      <c r="B29" s="71" t="s">
        <v>127</v>
      </c>
      <c r="C29" s="71"/>
      <c r="D29" s="71"/>
      <c r="E29" s="24"/>
      <c r="F29" s="24"/>
      <c r="G29" s="24"/>
    </row>
    <row r="30" spans="1:7" x14ac:dyDescent="0.3">
      <c r="B30" s="24" t="s">
        <v>128</v>
      </c>
      <c r="C30" s="24" t="s">
        <v>24</v>
      </c>
      <c r="D30" s="24" t="s">
        <v>129</v>
      </c>
      <c r="E30" s="22">
        <f>(E25*F18)</f>
        <v>1.3383197476082065E-7</v>
      </c>
      <c r="F30" s="24" t="s">
        <v>124</v>
      </c>
      <c r="G30" s="24"/>
    </row>
    <row r="31" spans="1:7" x14ac:dyDescent="0.3">
      <c r="B31" s="24"/>
      <c r="C31" s="24"/>
      <c r="D31" s="24"/>
      <c r="E31" s="24"/>
      <c r="F31" s="24"/>
      <c r="G31" s="24"/>
    </row>
    <row r="32" spans="1:7" x14ac:dyDescent="0.3">
      <c r="B32" s="62" t="s">
        <v>130</v>
      </c>
      <c r="C32" s="62"/>
      <c r="D32" s="62"/>
      <c r="E32" s="24"/>
      <c r="F32" s="24"/>
      <c r="G32" s="24"/>
    </row>
    <row r="33" spans="2:7" x14ac:dyDescent="0.3">
      <c r="B33" s="24"/>
      <c r="C33" s="24"/>
      <c r="D33" s="24"/>
      <c r="E33" s="24"/>
      <c r="F33" s="24"/>
      <c r="G33" s="24"/>
    </row>
    <row r="34" spans="2:7" x14ac:dyDescent="0.3">
      <c r="B34" s="24" t="s">
        <v>135</v>
      </c>
      <c r="C34" s="24" t="s">
        <v>24</v>
      </c>
      <c r="D34" s="24" t="s">
        <v>133</v>
      </c>
      <c r="E34" s="24"/>
      <c r="F34" s="24"/>
      <c r="G34" s="24"/>
    </row>
    <row r="35" spans="2:7" x14ac:dyDescent="0.3">
      <c r="B35" s="24"/>
      <c r="C35" s="24"/>
      <c r="D35" s="24" t="s">
        <v>134</v>
      </c>
      <c r="E35" s="24"/>
      <c r="F35" s="24"/>
      <c r="G35" s="24"/>
    </row>
    <row r="36" spans="2:7" x14ac:dyDescent="0.3">
      <c r="B36" s="24" t="s">
        <v>118</v>
      </c>
      <c r="C36" s="24" t="s">
        <v>24</v>
      </c>
      <c r="D36" s="24" t="s">
        <v>136</v>
      </c>
      <c r="E36" s="24" t="s">
        <v>24</v>
      </c>
      <c r="F36" s="24" t="s">
        <v>131</v>
      </c>
      <c r="G36" s="24"/>
    </row>
    <row r="37" spans="2:7" x14ac:dyDescent="0.3">
      <c r="B37" s="24"/>
      <c r="C37" s="24"/>
      <c r="D37" s="24"/>
      <c r="E37" s="24"/>
      <c r="F37" s="24"/>
      <c r="G37" s="24"/>
    </row>
    <row r="38" spans="2:7" x14ac:dyDescent="0.3">
      <c r="B38" s="62" t="s">
        <v>139</v>
      </c>
      <c r="C38" s="62"/>
      <c r="D38" s="24"/>
      <c r="E38" s="24"/>
      <c r="F38" s="24"/>
      <c r="G38" s="24"/>
    </row>
    <row r="39" spans="2:7" x14ac:dyDescent="0.3">
      <c r="B39" s="24"/>
      <c r="C39" s="24"/>
      <c r="D39" s="24" t="s">
        <v>137</v>
      </c>
      <c r="E39" s="24" t="s">
        <v>24</v>
      </c>
      <c r="F39" s="62" t="s">
        <v>138</v>
      </c>
      <c r="G39" s="62"/>
    </row>
    <row r="40" spans="2:7" x14ac:dyDescent="0.3">
      <c r="B40" s="24"/>
      <c r="C40" s="24"/>
      <c r="D40" s="24" t="s">
        <v>137</v>
      </c>
      <c r="E40" s="24" t="s">
        <v>24</v>
      </c>
      <c r="F40" s="70">
        <f>(E30*D3)/E3</f>
        <v>1.2921707907941303E-2</v>
      </c>
      <c r="G40" s="70"/>
    </row>
    <row r="41" spans="2:7" x14ac:dyDescent="0.3">
      <c r="B41" s="24"/>
      <c r="C41" s="24"/>
      <c r="D41" s="24"/>
      <c r="E41" s="24"/>
      <c r="F41" s="24"/>
      <c r="G41" s="24"/>
    </row>
    <row r="42" spans="2:7" x14ac:dyDescent="0.3">
      <c r="B42" s="62" t="s">
        <v>140</v>
      </c>
      <c r="C42" s="62"/>
      <c r="D42" s="24"/>
      <c r="E42" s="24"/>
      <c r="F42" s="24"/>
      <c r="G42" s="24"/>
    </row>
    <row r="43" spans="2:7" x14ac:dyDescent="0.3">
      <c r="B43" s="24"/>
      <c r="C43" s="24"/>
      <c r="D43" s="24" t="s">
        <v>141</v>
      </c>
      <c r="E43" s="24" t="s">
        <v>24</v>
      </c>
      <c r="F43" s="62" t="s">
        <v>142</v>
      </c>
      <c r="G43" s="62"/>
    </row>
    <row r="44" spans="2:7" x14ac:dyDescent="0.3">
      <c r="B44" s="24"/>
      <c r="C44" s="24"/>
      <c r="D44" s="24" t="s">
        <v>141</v>
      </c>
      <c r="E44" s="24" t="s">
        <v>24</v>
      </c>
      <c r="F44" s="70">
        <f>(E30*D4)/E4</f>
        <v>1.4870219417868964</v>
      </c>
      <c r="G44" s="70"/>
    </row>
    <row r="45" spans="2:7" x14ac:dyDescent="0.3">
      <c r="B45" s="24"/>
      <c r="C45" s="24"/>
      <c r="D45" s="24"/>
      <c r="E45" s="24"/>
      <c r="F45" s="24"/>
      <c r="G45" s="24"/>
    </row>
    <row r="46" spans="2:7" x14ac:dyDescent="0.3">
      <c r="B46" s="62" t="s">
        <v>147</v>
      </c>
      <c r="C46" s="62"/>
      <c r="D46" s="24"/>
      <c r="E46" s="24"/>
      <c r="F46" s="24"/>
      <c r="G46" s="24"/>
    </row>
    <row r="47" spans="2:7" x14ac:dyDescent="0.3">
      <c r="B47" s="24"/>
      <c r="C47" s="24"/>
      <c r="D47" s="24" t="s">
        <v>148</v>
      </c>
      <c r="E47" s="24" t="s">
        <v>24</v>
      </c>
      <c r="F47" s="62" t="s">
        <v>149</v>
      </c>
      <c r="G47" s="62"/>
    </row>
    <row r="48" spans="2:7" x14ac:dyDescent="0.3">
      <c r="B48" s="24"/>
      <c r="C48" s="24"/>
      <c r="D48" s="24" t="s">
        <v>148</v>
      </c>
      <c r="E48" s="24" t="s">
        <v>24</v>
      </c>
      <c r="F48" s="70">
        <f>(E30*E14)/E5</f>
        <v>5.6350305162450804E-5</v>
      </c>
      <c r="G48" s="70"/>
    </row>
    <row r="49" spans="1:7" x14ac:dyDescent="0.3">
      <c r="B49" s="24"/>
      <c r="C49" s="24"/>
      <c r="D49" s="24"/>
      <c r="E49" s="24"/>
      <c r="F49" s="24"/>
      <c r="G49" s="24"/>
    </row>
    <row r="50" spans="1:7" x14ac:dyDescent="0.3">
      <c r="B50" s="62" t="s">
        <v>143</v>
      </c>
      <c r="C50" s="62"/>
      <c r="D50" s="62"/>
      <c r="E50" s="24"/>
      <c r="F50" s="24"/>
      <c r="G50" s="24"/>
    </row>
    <row r="51" spans="1:7" x14ac:dyDescent="0.3">
      <c r="B51" s="24" t="s">
        <v>145</v>
      </c>
      <c r="C51" s="24" t="s">
        <v>144</v>
      </c>
      <c r="D51" s="24" t="s">
        <v>146</v>
      </c>
      <c r="E51" s="24" t="s">
        <v>150</v>
      </c>
      <c r="F51" s="24"/>
      <c r="G51" s="24"/>
    </row>
    <row r="52" spans="1:7" x14ac:dyDescent="0.3">
      <c r="B52" s="24" t="s">
        <v>151</v>
      </c>
      <c r="C52" s="24" t="s">
        <v>24</v>
      </c>
      <c r="D52" s="22">
        <f>F40+F44+F48</f>
        <v>1.5000000000000002</v>
      </c>
      <c r="E52" s="24"/>
      <c r="F52" s="24"/>
      <c r="G52" s="24"/>
    </row>
    <row r="54" spans="1:7" x14ac:dyDescent="0.3">
      <c r="B54" s="62"/>
      <c r="C54" s="62"/>
      <c r="D54" s="62"/>
      <c r="E54" s="62"/>
      <c r="F54" s="62"/>
      <c r="G54" s="62"/>
    </row>
    <row r="55" spans="1:7" x14ac:dyDescent="0.3">
      <c r="B55" s="62"/>
      <c r="C55" s="62"/>
      <c r="D55" s="62"/>
      <c r="E55" s="62"/>
      <c r="F55" s="62"/>
      <c r="G55" s="62"/>
    </row>
    <row r="56" spans="1:7" x14ac:dyDescent="0.3">
      <c r="B56" s="62"/>
      <c r="C56" s="62"/>
      <c r="D56" s="62"/>
      <c r="E56" s="62"/>
      <c r="F56" s="62"/>
      <c r="G56" s="62"/>
    </row>
    <row r="57" spans="1:7" x14ac:dyDescent="0.3">
      <c r="B57" s="62"/>
      <c r="C57" s="62"/>
      <c r="D57" s="62"/>
      <c r="E57" s="62"/>
      <c r="F57" s="62"/>
      <c r="G57" s="62"/>
    </row>
    <row r="58" spans="1:7" x14ac:dyDescent="0.3">
      <c r="B58" s="62"/>
      <c r="C58" s="62"/>
      <c r="D58" s="62"/>
      <c r="E58" s="62"/>
      <c r="F58" s="62"/>
      <c r="G58" s="62"/>
    </row>
    <row r="59" spans="1:7" x14ac:dyDescent="0.3">
      <c r="B59" s="62"/>
      <c r="C59" s="62"/>
      <c r="D59" s="62"/>
      <c r="E59" s="62"/>
      <c r="F59" s="62"/>
      <c r="G59" s="62"/>
    </row>
    <row r="60" spans="1:7" x14ac:dyDescent="0.3">
      <c r="B60" s="62"/>
      <c r="C60" s="62"/>
      <c r="D60" s="62"/>
      <c r="E60" s="62"/>
      <c r="F60" s="62"/>
      <c r="G60" s="62"/>
    </row>
    <row r="62" spans="1:7" x14ac:dyDescent="0.3">
      <c r="A62" s="3" t="s">
        <v>40</v>
      </c>
      <c r="B62" s="72" t="s">
        <v>152</v>
      </c>
      <c r="C62" s="72"/>
      <c r="D62" s="72"/>
      <c r="E62" s="72"/>
      <c r="F62" s="72"/>
      <c r="G62" s="72"/>
    </row>
    <row r="63" spans="1:7" x14ac:dyDescent="0.3">
      <c r="B63" s="28"/>
      <c r="C63" s="28"/>
      <c r="D63" s="28"/>
      <c r="E63" s="28"/>
      <c r="F63" s="28"/>
      <c r="G63" s="28"/>
    </row>
    <row r="64" spans="1:7" x14ac:dyDescent="0.3">
      <c r="B64" s="73" t="s">
        <v>157</v>
      </c>
      <c r="C64" s="73"/>
      <c r="D64" s="28"/>
      <c r="E64" s="28"/>
      <c r="F64" s="28"/>
      <c r="G64" s="28"/>
    </row>
    <row r="65" spans="2:7" x14ac:dyDescent="0.3">
      <c r="B65" s="1" t="s">
        <v>155</v>
      </c>
      <c r="C65" s="1">
        <v>10</v>
      </c>
      <c r="D65" s="1"/>
      <c r="E65" s="28"/>
      <c r="F65" s="28"/>
      <c r="G65" s="28"/>
    </row>
    <row r="66" spans="2:7" x14ac:dyDescent="0.3">
      <c r="B66" s="1" t="s">
        <v>156</v>
      </c>
      <c r="C66" s="1">
        <v>80</v>
      </c>
      <c r="D66" s="1"/>
      <c r="E66" s="28"/>
      <c r="F66" s="28"/>
      <c r="G66" s="28"/>
    </row>
    <row r="67" spans="2:7" x14ac:dyDescent="0.3">
      <c r="B67" s="1" t="s">
        <v>159</v>
      </c>
      <c r="C67" s="57" t="s">
        <v>158</v>
      </c>
      <c r="D67" s="57"/>
      <c r="E67" s="1">
        <f>C65*C66</f>
        <v>800</v>
      </c>
      <c r="F67" s="28"/>
      <c r="G67" s="28"/>
    </row>
    <row r="68" spans="2:7" x14ac:dyDescent="0.3">
      <c r="B68" s="57" t="s">
        <v>160</v>
      </c>
      <c r="C68" s="57"/>
      <c r="D68" s="1" t="s">
        <v>154</v>
      </c>
      <c r="E68" s="35">
        <f>E30*E67</f>
        <v>1.0706557980865652E-4</v>
      </c>
      <c r="F68" s="28"/>
      <c r="G68" s="28"/>
    </row>
    <row r="69" spans="2:7" x14ac:dyDescent="0.3">
      <c r="B69" s="57" t="s">
        <v>161</v>
      </c>
      <c r="C69" s="57"/>
      <c r="D69" s="1" t="s">
        <v>24</v>
      </c>
      <c r="E69" s="1" t="s">
        <v>162</v>
      </c>
      <c r="F69" s="28"/>
      <c r="G69" s="28"/>
    </row>
    <row r="70" spans="2:7" x14ac:dyDescent="0.3">
      <c r="B70" s="57" t="s">
        <v>163</v>
      </c>
      <c r="C70" s="57"/>
      <c r="D70" s="1" t="s">
        <v>24</v>
      </c>
      <c r="E70" s="35">
        <f>E68*3600</f>
        <v>0.38543608731116347</v>
      </c>
      <c r="F70" s="28"/>
      <c r="G70" s="28"/>
    </row>
  </sheetData>
  <mergeCells count="34">
    <mergeCell ref="B69:C69"/>
    <mergeCell ref="B70:C70"/>
    <mergeCell ref="B62:G62"/>
    <mergeCell ref="D17:E17"/>
    <mergeCell ref="B68:C68"/>
    <mergeCell ref="B64:C64"/>
    <mergeCell ref="C67:D67"/>
    <mergeCell ref="B2:C2"/>
    <mergeCell ref="B6:C6"/>
    <mergeCell ref="B7:C7"/>
    <mergeCell ref="B8:C8"/>
    <mergeCell ref="B9:C9"/>
    <mergeCell ref="D9:G9"/>
    <mergeCell ref="B3:C3"/>
    <mergeCell ref="B4:C4"/>
    <mergeCell ref="B5:C5"/>
    <mergeCell ref="B12:G12"/>
    <mergeCell ref="B13:D13"/>
    <mergeCell ref="B16:D16"/>
    <mergeCell ref="B21:E21"/>
    <mergeCell ref="B28:G28"/>
    <mergeCell ref="B29:D29"/>
    <mergeCell ref="B54:G60"/>
    <mergeCell ref="B32:D32"/>
    <mergeCell ref="B38:C38"/>
    <mergeCell ref="F39:G39"/>
    <mergeCell ref="F40:G40"/>
    <mergeCell ref="B42:C42"/>
    <mergeCell ref="F43:G43"/>
    <mergeCell ref="F44:G44"/>
    <mergeCell ref="B46:C46"/>
    <mergeCell ref="F47:G47"/>
    <mergeCell ref="F48:G48"/>
    <mergeCell ref="B50:D5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Q1</vt:lpstr>
      <vt:lpstr>Q2</vt:lpstr>
      <vt:lpstr>Q3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joshua oyedemi</dc:creator>
  <cp:lastModifiedBy>joshua oyedemi</cp:lastModifiedBy>
  <dcterms:created xsi:type="dcterms:W3CDTF">2025-03-03T18:47:43Z</dcterms:created>
  <dcterms:modified xsi:type="dcterms:W3CDTF">2025-03-10T06:09:56Z</dcterms:modified>
</cp:coreProperties>
</file>